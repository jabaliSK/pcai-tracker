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karanamj\Documents\"/>
    </mc:Choice>
  </mc:AlternateContent>
  <xr:revisionPtr revIDLastSave="0" documentId="8_{36FE277B-F1D6-4051-AF59-0AB71EB2EE28}" xr6:coauthVersionLast="47" xr6:coauthVersionMax="47" xr10:uidLastSave="{00000000-0000-0000-0000-000000000000}"/>
  <bookViews>
    <workbookView xWindow="-108" yWindow="-108" windowWidth="23256" windowHeight="12456" xr2:uid="{1CC138B6-3406-47D8-A4BE-EC15EBD17419}"/>
  </bookViews>
  <sheets>
    <sheet name="Details" sheetId="1" r:id="rId1"/>
    <sheet name="data" sheetId="2" r:id="rId2"/>
    <sheet name="Bugs" sheetId="4" r:id="rId3"/>
    <sheet name="Issue_Log" sheetId="7" r:id="rId4"/>
    <sheet name="Stats" sheetId="5" r:id="rId5"/>
    <sheet name="Charts" sheetId="6" r:id="rId6"/>
  </sheets>
  <definedNames>
    <definedName name="_xlnm._FilterDatabase" localSheetId="0" hidden="1">Details!$F$1:$F$102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3" i="1" l="1"/>
  <c r="H74" i="1"/>
  <c r="H75" i="1"/>
  <c r="I67" i="1"/>
  <c r="I47" i="1"/>
  <c r="G45" i="5"/>
  <c r="G44" i="5"/>
  <c r="G43" i="5"/>
  <c r="G42" i="5"/>
  <c r="G41" i="5"/>
  <c r="H24" i="5" a="1"/>
  <c r="H24" i="5" s="1"/>
  <c r="F24" i="5" a="1"/>
  <c r="F24" i="5" s="1"/>
  <c r="H23" i="5" a="1"/>
  <c r="H23" i="5" s="1"/>
  <c r="F23" i="5" a="1"/>
  <c r="F23" i="5" s="1"/>
  <c r="H22" i="5" a="1"/>
  <c r="H22" i="5" s="1"/>
  <c r="F22" i="5" a="1"/>
  <c r="F22" i="5" s="1"/>
  <c r="H21" i="5" a="1"/>
  <c r="H21" i="5" s="1"/>
  <c r="F21" i="5" a="1"/>
  <c r="F21" i="5" s="1"/>
  <c r="H20" i="5" a="1"/>
  <c r="H20" i="5" s="1"/>
  <c r="F20" i="5" a="1"/>
  <c r="F20" i="5" s="1"/>
  <c r="H19" i="5" a="1"/>
  <c r="H19" i="5" s="1"/>
  <c r="F19" i="5" a="1"/>
  <c r="F19" i="5" s="1"/>
  <c r="H18" i="5" a="1"/>
  <c r="H18" i="5" s="1"/>
  <c r="F18" i="5" a="1"/>
  <c r="F18" i="5" s="1"/>
  <c r="H17" i="5" a="1"/>
  <c r="H17" i="5" s="1"/>
  <c r="F17" i="5" a="1"/>
  <c r="F17" i="5" s="1"/>
  <c r="B10" i="5" a="1"/>
  <c r="B10" i="5" s="1"/>
  <c r="B9" i="5" a="1"/>
  <c r="B9" i="5" s="1"/>
  <c r="G40" i="5"/>
  <c r="C45" i="5" a="1"/>
  <c r="C45" i="5" s="1"/>
  <c r="B45" i="5" a="1"/>
  <c r="B45" i="5" s="1"/>
  <c r="C44" i="5" a="1"/>
  <c r="C44" i="5" s="1"/>
  <c r="B44" i="5" a="1"/>
  <c r="B44" i="5" s="1"/>
  <c r="C43" i="5" a="1"/>
  <c r="C43" i="5" s="1"/>
  <c r="B43" i="5" a="1"/>
  <c r="B43" i="5" s="1"/>
  <c r="C42" i="5" a="1"/>
  <c r="C42" i="5" s="1"/>
  <c r="B42" i="5" a="1"/>
  <c r="B42" i="5" s="1"/>
  <c r="C41" i="5" a="1"/>
  <c r="C41" i="5" s="1"/>
  <c r="B41" i="5" a="1"/>
  <c r="B41" i="5" s="1"/>
  <c r="C40" i="5" a="1"/>
  <c r="C40" i="5" s="1"/>
  <c r="B40" i="5" a="1"/>
  <c r="B40" i="5" s="1"/>
  <c r="N23" i="5" a="1"/>
  <c r="N23" i="5" s="1"/>
  <c r="M23" i="5" a="1"/>
  <c r="M23" i="5" s="1"/>
  <c r="L23" i="5" a="1"/>
  <c r="L23" i="5" s="1"/>
  <c r="K23" i="5" a="1"/>
  <c r="K23" i="5" s="1"/>
  <c r="N22" i="5" a="1"/>
  <c r="N22" i="5" s="1"/>
  <c r="M22" i="5" a="1"/>
  <c r="M22" i="5" s="1"/>
  <c r="L22" i="5" a="1"/>
  <c r="L22" i="5" s="1"/>
  <c r="K22" i="5" a="1"/>
  <c r="K22" i="5" s="1"/>
  <c r="N21" i="5" a="1"/>
  <c r="N21" i="5" s="1"/>
  <c r="M21" i="5" a="1"/>
  <c r="M21" i="5" s="1"/>
  <c r="L21" i="5" a="1"/>
  <c r="L21" i="5" s="1"/>
  <c r="K21" i="5" a="1"/>
  <c r="K21" i="5" s="1"/>
  <c r="N20" i="5" a="1"/>
  <c r="N20" i="5" s="1"/>
  <c r="M20" i="5" a="1"/>
  <c r="M20" i="5" s="1"/>
  <c r="L20" i="5" a="1"/>
  <c r="L20" i="5" s="1"/>
  <c r="K20" i="5" a="1"/>
  <c r="K20" i="5" s="1"/>
  <c r="N19" i="5" a="1"/>
  <c r="N19" i="5" s="1"/>
  <c r="M19" i="5" a="1"/>
  <c r="M19" i="5" s="1"/>
  <c r="L19" i="5" a="1"/>
  <c r="L19" i="5" s="1"/>
  <c r="K19" i="5" a="1"/>
  <c r="K19" i="5" s="1"/>
  <c r="N18" i="5" a="1"/>
  <c r="N18" i="5" s="1"/>
  <c r="M18" i="5" a="1"/>
  <c r="M18" i="5" s="1"/>
  <c r="L18" i="5" a="1"/>
  <c r="L18" i="5" s="1"/>
  <c r="K18" i="5" a="1"/>
  <c r="K18" i="5" s="1"/>
  <c r="B28" i="5"/>
  <c r="I34" i="5" s="1"/>
  <c r="J7" i="5"/>
  <c r="N7" i="5" s="1" a="1"/>
  <c r="N7" i="5" s="1"/>
  <c r="G24" i="5" a="1"/>
  <c r="G24" i="5" s="1"/>
  <c r="E24" i="5" a="1"/>
  <c r="E24" i="5" s="1"/>
  <c r="G23" i="5" a="1"/>
  <c r="G23" i="5" s="1"/>
  <c r="E23" i="5" a="1"/>
  <c r="E23" i="5" s="1"/>
  <c r="G22" i="5" a="1"/>
  <c r="G22" i="5" s="1"/>
  <c r="E22" i="5" a="1"/>
  <c r="E22" i="5" s="1"/>
  <c r="G21" i="5" a="1"/>
  <c r="G21" i="5" s="1"/>
  <c r="E21" i="5" a="1"/>
  <c r="E21" i="5" s="1"/>
  <c r="G20" i="5" a="1"/>
  <c r="G20" i="5" s="1"/>
  <c r="E20" i="5" a="1"/>
  <c r="E20" i="5" s="1"/>
  <c r="G19" i="5" a="1"/>
  <c r="G19" i="5" s="1"/>
  <c r="E19" i="5" a="1"/>
  <c r="E19" i="5" s="1"/>
  <c r="G18" i="5" a="1"/>
  <c r="G18" i="5" s="1"/>
  <c r="E18" i="5" a="1"/>
  <c r="E18" i="5" s="1"/>
  <c r="G17" i="5" a="1"/>
  <c r="G17" i="5" s="1"/>
  <c r="E17" i="5" a="1"/>
  <c r="E17" i="5" s="1"/>
  <c r="H12" i="5"/>
  <c r="G12" i="5"/>
  <c r="F12" i="5"/>
  <c r="E12" i="5"/>
  <c r="H11" i="5"/>
  <c r="G11" i="5"/>
  <c r="F11" i="5"/>
  <c r="E11" i="5"/>
  <c r="H10" i="5"/>
  <c r="G10" i="5"/>
  <c r="F10" i="5"/>
  <c r="E10" i="5"/>
  <c r="H9" i="5"/>
  <c r="G9" i="5"/>
  <c r="F9" i="5"/>
  <c r="E9" i="5"/>
  <c r="H8" i="5"/>
  <c r="G8" i="5"/>
  <c r="F8" i="5"/>
  <c r="E8" i="5"/>
  <c r="H7" i="5"/>
  <c r="G7" i="5"/>
  <c r="F7" i="5"/>
  <c r="E7" i="5"/>
  <c r="B24" i="5"/>
  <c r="B23" i="5"/>
  <c r="B22" i="5"/>
  <c r="B21" i="5"/>
  <c r="B20" i="5"/>
  <c r="B19" i="5"/>
  <c r="B18" i="5"/>
  <c r="B17" i="5"/>
  <c r="B12" i="5" a="1"/>
  <c r="B12" i="5" s="1"/>
  <c r="B11" i="5" a="1"/>
  <c r="B11" i="5" s="1"/>
  <c r="B8" i="5" a="1"/>
  <c r="B8" i="5" s="1"/>
  <c r="B7" i="5" a="1"/>
  <c r="B7" i="5" s="1"/>
  <c r="B3" i="5"/>
  <c r="H31" i="1"/>
  <c r="J31" i="1"/>
  <c r="H40" i="1"/>
  <c r="I40" i="1"/>
  <c r="J40" i="1"/>
  <c r="H41" i="1"/>
  <c r="I41" i="1"/>
  <c r="J41" i="1"/>
  <c r="H42" i="1"/>
  <c r="I42" i="1"/>
  <c r="J42" i="1"/>
  <c r="J43" i="1"/>
  <c r="H44" i="1"/>
  <c r="I44" i="1"/>
  <c r="J44" i="1"/>
  <c r="H45" i="1"/>
  <c r="I45" i="1"/>
  <c r="J45" i="1"/>
  <c r="J46" i="1"/>
  <c r="H47" i="1"/>
  <c r="J47" i="1"/>
  <c r="J48" i="1"/>
  <c r="J50" i="1"/>
  <c r="H51" i="1"/>
  <c r="I51" i="1"/>
  <c r="J51" i="1"/>
  <c r="H56" i="1"/>
  <c r="I56" i="1"/>
  <c r="J56" i="1"/>
  <c r="H57" i="1"/>
  <c r="I57" i="1"/>
  <c r="J57" i="1"/>
  <c r="H59" i="1"/>
  <c r="J59" i="1"/>
  <c r="H60" i="1"/>
  <c r="I60" i="1"/>
  <c r="J60" i="1"/>
  <c r="H61" i="1"/>
  <c r="I61" i="1"/>
  <c r="J61" i="1"/>
  <c r="I63" i="1"/>
  <c r="J63" i="1"/>
  <c r="H64" i="1"/>
  <c r="I64" i="1"/>
  <c r="J64" i="1"/>
  <c r="H65" i="1"/>
  <c r="I65" i="1"/>
  <c r="J65" i="1"/>
  <c r="H67" i="1"/>
  <c r="J67" i="1"/>
  <c r="I68" i="1"/>
  <c r="J68" i="1"/>
  <c r="I69" i="1"/>
  <c r="J69" i="1"/>
  <c r="I70" i="1"/>
  <c r="J70" i="1"/>
  <c r="I71" i="1"/>
  <c r="J71" i="1"/>
  <c r="I72" i="1"/>
  <c r="J72" i="1"/>
  <c r="I73" i="1"/>
  <c r="J73" i="1"/>
  <c r="I75" i="1"/>
  <c r="J75" i="1"/>
  <c r="I76" i="1"/>
  <c r="J76" i="1"/>
  <c r="H77" i="1"/>
  <c r="I77" i="1"/>
  <c r="J77" i="1"/>
  <c r="H78" i="1"/>
  <c r="I78" i="1"/>
  <c r="J78" i="1"/>
  <c r="H79" i="1"/>
  <c r="I79" i="1"/>
  <c r="J79" i="1"/>
  <c r="H80" i="1"/>
  <c r="I80" i="1"/>
  <c r="J80" i="1"/>
  <c r="H81" i="1"/>
  <c r="I81" i="1"/>
  <c r="J81" i="1"/>
  <c r="H82" i="1"/>
  <c r="I82" i="1"/>
  <c r="J82" i="1"/>
  <c r="H83" i="1"/>
  <c r="I83" i="1"/>
  <c r="J83" i="1"/>
  <c r="H84" i="1"/>
  <c r="I84" i="1"/>
  <c r="J84" i="1"/>
  <c r="H85" i="1"/>
  <c r="I85" i="1"/>
  <c r="J85" i="1"/>
  <c r="H86" i="1"/>
  <c r="I86" i="1"/>
  <c r="J86" i="1"/>
  <c r="H87" i="1"/>
  <c r="I87" i="1"/>
  <c r="J87" i="1"/>
  <c r="H88" i="1"/>
  <c r="I88" i="1"/>
  <c r="J88" i="1"/>
  <c r="H89" i="1"/>
  <c r="I89" i="1"/>
  <c r="J89" i="1"/>
  <c r="H90" i="1"/>
  <c r="I90" i="1"/>
  <c r="J90" i="1"/>
  <c r="H91" i="1"/>
  <c r="I91" i="1"/>
  <c r="J91" i="1"/>
  <c r="H92" i="1"/>
  <c r="I92" i="1"/>
  <c r="J92" i="1"/>
  <c r="H93" i="1"/>
  <c r="I93" i="1"/>
  <c r="J93" i="1"/>
  <c r="H94" i="1"/>
  <c r="I94" i="1"/>
  <c r="J94" i="1"/>
  <c r="H95" i="1"/>
  <c r="I95" i="1"/>
  <c r="J95" i="1"/>
  <c r="H96" i="1"/>
  <c r="I96" i="1"/>
  <c r="J96" i="1"/>
  <c r="H97" i="1"/>
  <c r="I97" i="1"/>
  <c r="J97" i="1"/>
  <c r="H98" i="1"/>
  <c r="I98" i="1"/>
  <c r="J98" i="1"/>
  <c r="H99" i="1"/>
  <c r="I99" i="1"/>
  <c r="J99" i="1"/>
  <c r="H100" i="1"/>
  <c r="I100" i="1"/>
  <c r="J100" i="1"/>
  <c r="H101" i="1"/>
  <c r="I101" i="1"/>
  <c r="J101" i="1"/>
  <c r="H102" i="1"/>
  <c r="I102" i="1"/>
  <c r="J102" i="1"/>
  <c r="J5" i="1"/>
  <c r="I5" i="1"/>
  <c r="H5" i="1"/>
  <c r="H13" i="5" l="1"/>
  <c r="D43" i="5"/>
  <c r="F13" i="5"/>
  <c r="D44" i="5"/>
  <c r="C46" i="5"/>
  <c r="D42" i="5"/>
  <c r="D45" i="5"/>
  <c r="K24" i="5"/>
  <c r="D41" i="5"/>
  <c r="L24" i="5"/>
  <c r="E13" i="5"/>
  <c r="M24" i="5"/>
  <c r="G13" i="5"/>
  <c r="N24" i="5"/>
  <c r="B46" i="5"/>
  <c r="D40" i="5"/>
  <c r="I32" i="5"/>
  <c r="I33" i="5"/>
  <c r="I30" i="5"/>
  <c r="I31" i="5"/>
  <c r="I29" i="5"/>
  <c r="J8" i="5"/>
  <c r="L7" i="5" a="1"/>
  <c r="L7" i="5" s="1"/>
  <c r="I28" i="5"/>
  <c r="B34" i="5" a="1"/>
  <c r="B34" i="5" s="1"/>
  <c r="B33" i="5" a="1"/>
  <c r="B33" i="5" s="1"/>
  <c r="B32" i="5" a="1"/>
  <c r="B32" i="5" s="1"/>
  <c r="B30" i="5" a="1"/>
  <c r="B30" i="5" s="1"/>
  <c r="B31" i="5" a="1"/>
  <c r="B31" i="5" s="1"/>
  <c r="C28" i="5"/>
  <c r="B29" i="5" a="1"/>
  <c r="B29" i="5" s="1"/>
  <c r="M7" i="5" a="1"/>
  <c r="M7" i="5" s="1"/>
  <c r="K7" i="5" a="1"/>
  <c r="K7" i="5" s="1"/>
  <c r="D46" i="5" l="1"/>
  <c r="I35" i="5"/>
  <c r="J33" i="5"/>
  <c r="J34" i="5"/>
  <c r="J31" i="5"/>
  <c r="J32" i="5"/>
  <c r="J29" i="5"/>
  <c r="J30" i="5"/>
  <c r="M8" i="5" a="1"/>
  <c r="M8" i="5" s="1"/>
  <c r="K8" i="5" a="1"/>
  <c r="K8" i="5" s="1"/>
  <c r="N8" i="5" a="1"/>
  <c r="N8" i="5" s="1"/>
  <c r="J9" i="5"/>
  <c r="L8" i="5" a="1"/>
  <c r="L8" i="5" s="1"/>
  <c r="J28" i="5"/>
  <c r="B35" i="5"/>
  <c r="C34" i="5" a="1"/>
  <c r="C34" i="5" s="1"/>
  <c r="C33" i="5" a="1"/>
  <c r="C33" i="5" s="1"/>
  <c r="C32" i="5" a="1"/>
  <c r="C32" i="5" s="1"/>
  <c r="C30" i="5" a="1"/>
  <c r="C30" i="5" s="1"/>
  <c r="C31" i="5" a="1"/>
  <c r="C31" i="5" s="1"/>
  <c r="D28" i="5"/>
  <c r="C29" i="5" a="1"/>
  <c r="C29" i="5" s="1"/>
  <c r="J35" i="5" l="1"/>
  <c r="K33" i="5"/>
  <c r="K34" i="5"/>
  <c r="K31" i="5"/>
  <c r="K32" i="5"/>
  <c r="K29" i="5"/>
  <c r="K30" i="5"/>
  <c r="L9" i="5" a="1"/>
  <c r="L9" i="5" s="1"/>
  <c r="N9" i="5" a="1"/>
  <c r="N9" i="5" s="1"/>
  <c r="K9" i="5" a="1"/>
  <c r="K9" i="5" s="1"/>
  <c r="M9" i="5" a="1"/>
  <c r="M9" i="5" s="1"/>
  <c r="J10" i="5"/>
  <c r="K28" i="5"/>
  <c r="C35" i="5"/>
  <c r="D34" i="5" a="1"/>
  <c r="D34" i="5" s="1"/>
  <c r="D33" i="5" a="1"/>
  <c r="D33" i="5" s="1"/>
  <c r="D32" i="5" a="1"/>
  <c r="D32" i="5" s="1"/>
  <c r="D30" i="5" a="1"/>
  <c r="D30" i="5" s="1"/>
  <c r="D31" i="5" a="1"/>
  <c r="D31" i="5" s="1"/>
  <c r="E28" i="5"/>
  <c r="D29" i="5" a="1"/>
  <c r="D29" i="5" s="1"/>
  <c r="K35" i="5" l="1"/>
  <c r="L33" i="5"/>
  <c r="M33" i="5" s="1"/>
  <c r="L34" i="5"/>
  <c r="M34" i="5" s="1"/>
  <c r="L31" i="5"/>
  <c r="M31" i="5" s="1"/>
  <c r="L32" i="5"/>
  <c r="M32" i="5" s="1"/>
  <c r="L29" i="5"/>
  <c r="M29" i="5" s="1"/>
  <c r="L30" i="5"/>
  <c r="M30" i="5" s="1"/>
  <c r="L10" i="5" a="1"/>
  <c r="L10" i="5" s="1"/>
  <c r="N10" i="5" a="1"/>
  <c r="N10" i="5" s="1"/>
  <c r="K10" i="5" a="1"/>
  <c r="K10" i="5" s="1"/>
  <c r="M10" i="5" a="1"/>
  <c r="M10" i="5" s="1"/>
  <c r="J11" i="5"/>
  <c r="L28" i="5"/>
  <c r="D35" i="5"/>
  <c r="E34" i="5" a="1"/>
  <c r="E34" i="5" s="1"/>
  <c r="F34" i="5" s="1"/>
  <c r="E33" i="5" a="1"/>
  <c r="E33" i="5" s="1"/>
  <c r="F33" i="5" s="1"/>
  <c r="E31" i="5" a="1"/>
  <c r="E31" i="5" s="1"/>
  <c r="F31" i="5" s="1"/>
  <c r="E32" i="5" a="1"/>
  <c r="E32" i="5" s="1"/>
  <c r="F32" i="5" s="1"/>
  <c r="E29" i="5" a="1"/>
  <c r="E29" i="5" s="1"/>
  <c r="E30" i="5" a="1"/>
  <c r="E30" i="5" s="1"/>
  <c r="F30" i="5" s="1"/>
  <c r="L35" i="5" l="1"/>
  <c r="M35" i="5" s="1"/>
  <c r="L11" i="5" a="1"/>
  <c r="L11" i="5" s="1"/>
  <c r="N11" i="5" a="1"/>
  <c r="N11" i="5" s="1"/>
  <c r="K11" i="5" a="1"/>
  <c r="K11" i="5" s="1"/>
  <c r="M11" i="5" a="1"/>
  <c r="M11" i="5" s="1"/>
  <c r="J12" i="5"/>
  <c r="F29" i="5"/>
  <c r="F35" i="5" s="1"/>
  <c r="E35" i="5"/>
  <c r="L12" i="5" l="1" a="1"/>
  <c r="L12" i="5" s="1"/>
  <c r="N12" i="5" a="1"/>
  <c r="N12" i="5" s="1"/>
  <c r="M12" i="5" a="1"/>
  <c r="M12" i="5" s="1"/>
  <c r="K12" i="5" a="1"/>
  <c r="K12" i="5" s="1"/>
  <c r="J13" i="5"/>
  <c r="L13" i="5" l="1" a="1"/>
  <c r="L13" i="5" s="1"/>
  <c r="N13" i="5" a="1"/>
  <c r="N13" i="5" s="1"/>
  <c r="J14" i="5"/>
  <c r="M13" i="5" a="1"/>
  <c r="M13" i="5" s="1"/>
  <c r="K13" i="5" a="1"/>
  <c r="K13" i="5" s="1"/>
  <c r="L14" i="5" l="1" a="1"/>
  <c r="L14" i="5" s="1"/>
  <c r="N14" i="5" a="1"/>
  <c r="N14" i="5" s="1"/>
  <c r="K14" i="5" a="1"/>
  <c r="K14" i="5" s="1"/>
  <c r="M14" i="5" a="1"/>
  <c r="M14"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<sst xmlns="http://schemas.openxmlformats.org/spreadsheetml/2006/main" count="895" uniqueCount="266">
  <si>
    <t>Date (DD-MM-YY)</t>
  </si>
  <si>
    <t>Customer</t>
  </si>
  <si>
    <t>PM</t>
  </si>
  <si>
    <t>Type</t>
  </si>
  <si>
    <t>Resource</t>
  </si>
  <si>
    <t>VPN</t>
  </si>
  <si>
    <t>Status</t>
  </si>
  <si>
    <t>Hours Spent</t>
  </si>
  <si>
    <t>Comments</t>
  </si>
  <si>
    <t>Tickets</t>
  </si>
  <si>
    <t>Testing</t>
  </si>
  <si>
    <t>Orientation</t>
  </si>
  <si>
    <t>App/IP</t>
  </si>
  <si>
    <t>User</t>
  </si>
  <si>
    <t>Pass</t>
  </si>
  <si>
    <t>Syscom Taiwan</t>
  </si>
  <si>
    <t>Shobhna</t>
  </si>
  <si>
    <t>Jabali</t>
  </si>
  <si>
    <t>Global Protect
60.251.169.194</t>
  </si>
  <si>
    <t>exthpe_jabali_searcot_karanam</t>
  </si>
  <si>
    <t>YGbux#V3mrip</t>
  </si>
  <si>
    <t>Done</t>
  </si>
  <si>
    <t>Local S3 issue. 
Fixed</t>
  </si>
  <si>
    <t>Verizon</t>
  </si>
  <si>
    <t>Forticlient
https://63.97.174.133:10443/
10443</t>
  </si>
  <si>
    <t>asingh</t>
  </si>
  <si>
    <t>Xwa8xMWFcRjY3V0H</t>
  </si>
  <si>
    <t>Need to add to host file
10.77.25.22  home.rcn-pcai-ai-application.msdctf.local
10.77.25.22  *.rcn-pcai-ai-application.msdctf.local
10.77.25.22  keycloak.rcn-pcai-ai-application.msdctf.local
10.77.25.22  token-service.rcn-pcai-ai-application.msdctf.local
10.77.25.22  kubeflow.rcn-pcai-ai-application.msdctf.local
10.77.25.22  oauth2-proxy.rcn-pcai-ai-application.msdctf.local
10.77.25.22  welcome.rcn-pcai-ai-application.msdctf.local/</t>
  </si>
  <si>
    <t>Largan</t>
  </si>
  <si>
    <t xml:space="preserve">
Li, Jiuxu</t>
  </si>
  <si>
    <t>Screen Share</t>
  </si>
  <si>
    <t> </t>
  </si>
  <si>
    <t>Tu Site Network</t>
  </si>
  <si>
    <t>Fundación Médica de Mar del Plata</t>
  </si>
  <si>
    <t>Suraj</t>
  </si>
  <si>
    <t>NA</t>
  </si>
  <si>
    <t>Bridgetak</t>
  </si>
  <si>
    <t>DJ</t>
  </si>
  <si>
    <t>Quanser</t>
  </si>
  <si>
    <t>Unisys</t>
  </si>
  <si>
    <t>Ashish</t>
  </si>
  <si>
    <t xml:space="preserve">Hitachi </t>
  </si>
  <si>
    <t xml:space="preserve">Peraton </t>
  </si>
  <si>
    <t>Sanjana</t>
  </si>
  <si>
    <t>TrueMove</t>
  </si>
  <si>
    <t>Shobna</t>
  </si>
  <si>
    <t>PCAI had URLs blocked which had to be whitelisted</t>
  </si>
  <si>
    <t>Dallas Cowboys</t>
  </si>
  <si>
    <t>2 Degrees</t>
  </si>
  <si>
    <t>Court of Justice</t>
  </si>
  <si>
    <t>Lopamudra Dash</t>
  </si>
  <si>
    <t>Kaczmarski </t>
  </si>
  <si>
    <t>Pransshu</t>
  </si>
  <si>
    <t>HPE-GIT-2nd-G2-Large-EXP-COLO1</t>
  </si>
  <si>
    <t>Aisiri/Praveen</t>
  </si>
  <si>
    <t>Danfoss G2 Large</t>
  </si>
  <si>
    <t xml:space="preserve">Debaroon </t>
  </si>
  <si>
    <t>u449364@danfoss.com</t>
  </si>
  <si>
    <t>jabali-searcot.karanam@hpe.com</t>
  </si>
  <si>
    <t>N@@Dar!dr@m.1123</t>
  </si>
  <si>
    <t>Unisystem Upgrade</t>
  </si>
  <si>
    <t>Kaczmarski Upgrade</t>
  </si>
  <si>
    <t>Sunway Digital</t>
  </si>
  <si>
    <t>HPE-GIT-G2-Large-EXP-COLO2</t>
  </si>
  <si>
    <t>Aarti</t>
  </si>
  <si>
    <t>COFORGE</t>
  </si>
  <si>
    <t>Praveen</t>
  </si>
  <si>
    <t>ZAMEK KRÓLEWSKI NA WAWELU (The Royal Castle on Wawel Hill)</t>
  </si>
  <si>
    <t>Hemanth</t>
  </si>
  <si>
    <t>Sunway Digital Upgrade</t>
  </si>
  <si>
    <t>Court of Justice Upgrade</t>
  </si>
  <si>
    <t>Quanser Upgrade</t>
  </si>
  <si>
    <t>Forticlient mkvpn.quanser.com</t>
  </si>
  <si>
    <t>Ashukla</t>
  </si>
  <si>
    <t>Quan#@!@^</t>
  </si>
  <si>
    <t>Peraton Upgrade</t>
  </si>
  <si>
    <t>Kashif</t>
  </si>
  <si>
    <t xml:space="preserve">Columbia Lafayette </t>
  </si>
  <si>
    <t> PCAI had URLs blocked which had to be whitelisted
Notebook Kernel was disconnected and Ingress pod had to be restarted</t>
  </si>
  <si>
    <t>Fraunhofer Gesellschaft</t>
  </si>
  <si>
    <t>COLO1-GIT-PCAIG2-LG8N-2</t>
  </si>
  <si>
    <t xml:space="preserve">Aisiri </t>
  </si>
  <si>
    <t>HPE Network</t>
  </si>
  <si>
    <t>Two Degrees Mobile Limited - Upgrade</t>
  </si>
  <si>
    <t>thirdparty.2degrees.nz</t>
  </si>
  <si>
    <t>nzc\Vikas.Sharma2</t>
  </si>
  <si>
    <t>Vikasvishalgian$22ji</t>
  </si>
  <si>
    <t>Data Sources as OPA Server wasn’t Scaled Properly</t>
  </si>
  <si>
    <t>TrueMove Upgrade</t>
  </si>
  <si>
    <t>Lupin Ltd</t>
  </si>
  <si>
    <t>https://isecure.lupin.com/Home/Login</t>
  </si>
  <si>
    <t>"+919901378424"</t>
  </si>
  <si>
    <t>Authenticator Code</t>
  </si>
  <si>
    <t>Slow Network, Model Deployment Consumed time</t>
  </si>
  <si>
    <t>Comcast</t>
  </si>
  <si>
    <t>PCAI G2 CTO - L-INFRAESTRUTURAS DE PORTUGAL, S.A.</t>
  </si>
  <si>
    <t>https://urldefense.com/v3/__https://vpn.infraestruturasdeportugal.pt/sslvpn/Login/Login__;!!NpxR!jweiTjtYHp71a0luU2zmAIOIiUiy3kv7n_DbXVzoqpwPZep10EQn6rsNWH1TooMX3uBrQYgbYyUdzQRBh3jXnh_eH2C2gp5Yo4M$
https://firewall.refer.pt/PortalMain</t>
  </si>
  <si>
    <t>s.upadhyaya.pcai@mgmt.local</t>
  </si>
  <si>
    <t>PRvi,78#49!</t>
  </si>
  <si>
    <t>1. python https://pypi.org had to be whitelisted on production network
2. https://github.com/HPEEzmeral had to be whitelisted on production network
3. firewall rules had to be modified twice to resolve DNS related issue that was causing github to have no access on production network, thereby leading to failure to download DAGs on Airflow.
4. Kernel got disconnected leading to failures to run notebooks</t>
  </si>
  <si>
    <t>Louieville</t>
  </si>
  <si>
    <t>SGMAI Interna Unit 2</t>
  </si>
  <si>
    <t xml:space="preserve">mobilidade.rnsi.mai.gov.pt </t>
  </si>
  <si>
    <t>hpe_suraj.r-s-ext</t>
  </si>
  <si>
    <t>(AEG&lt;F3z</t>
  </si>
  <si>
    <t>Slow Network, Notebook Server spinning issue</t>
  </si>
  <si>
    <t>ENI SPA</t>
  </si>
  <si>
    <t>Yousuff Shariff</t>
  </si>
  <si>
    <t>Jar Electrónica Aplicada PCAI</t>
  </si>
  <si>
    <t>Jabartan</t>
  </si>
  <si>
    <t>URL Blacklisted</t>
  </si>
  <si>
    <t>Infomina</t>
  </si>
  <si>
    <t>Tom Sunder</t>
  </si>
  <si>
    <t>vpn.cloud.infomina.ai:10444</t>
  </si>
  <si>
    <t>Username: hpe-installer
Password: ponzec-kUwsup-nyxze0</t>
  </si>
  <si>
    <t>Tatung Systems</t>
  </si>
  <si>
    <t>4th pipeline done in calling_llm not openai</t>
  </si>
  <si>
    <t>Equinix Columbia</t>
  </si>
  <si>
    <t>Anydesk with Pransshu's  account in workspace</t>
  </si>
  <si>
    <t>Deloitte and Accenture</t>
  </si>
  <si>
    <t>Connected to hpe network rdp to 10.30.193.7 and then rdp to 8.40.155.92</t>
  </si>
  <si>
    <t>For JS 10.30.193.7:  User: Ayushi  Password: HrF2JY1RF09k
For JS 8.40.155.92    User:  Ayushi  Password:  Password!234</t>
  </si>
  <si>
    <t>1st pipeline done with wheels in airgapped network, 4th pipeline done without openai, common cloud in pransshu's account and rdp in hpe network for pcai</t>
  </si>
  <si>
    <t>OC Public Defender</t>
  </si>
  <si>
    <t>Ozdilek</t>
  </si>
  <si>
    <t>Patrik</t>
  </si>
  <si>
    <t>Global Protect Address: 195.175.54.246:43443</t>
  </si>
  <si>
    <t>user name pransshu.g          Password:  vd#,jK4(6k@1</t>
  </si>
  <si>
    <t>VPN has MFA. 1st pipline done in airgapped</t>
  </si>
  <si>
    <t>DJBC - DC</t>
  </si>
  <si>
    <t>vendor.password.co.id</t>
  </si>
  <si>
    <t>support03</t>
  </si>
  <si>
    <t>3Jx0*8Fr-gzb03</t>
  </si>
  <si>
    <t>1st Pipeline done with Airgapped Notebook as it couldnt download from Keras, 4th Pipeline done using openai.</t>
  </si>
  <si>
    <t>Ozdilek - retesting</t>
  </si>
  <si>
    <t>TMH VENTURES</t>
  </si>
  <si>
    <t>ISU Deployment (Kocaeli Su ve Kanalizasyon İdaresi Genel Müdürlüğü)</t>
  </si>
  <si>
    <t>Cisco Secure Client 88.255.175.139:48443     https://hpe-my.sharepoint.com/:b:/p/pransshu_g-ext/IQC5aPObYdK4TJZKe7-ZEFC7ATVyHE-ZnfS6SzhQRXasfj0?e=qwgKHx</t>
  </si>
  <si>
    <t>pransshu</t>
  </si>
  <si>
    <t>8hl-5s?EylwR</t>
  </si>
  <si>
    <t xml:space="preserve">ISU workspace in Pradyut's greenlake account. </t>
  </si>
  <si>
    <t>Ashburn</t>
  </si>
  <si>
    <t>147.123.195.3:23389</t>
  </si>
  <si>
    <t>onsiteteam</t>
  </si>
  <si>
    <t>d20hbWUBQ0GujYtf</t>
  </si>
  <si>
    <t>CHEOPS - France</t>
  </si>
  <si>
    <t>Forticlient Import</t>
  </si>
  <si>
    <t>adm-srs@extinfocheops.local</t>
  </si>
  <si>
    <t>b2VjA%tud3M@kTu</t>
  </si>
  <si>
    <t>MGT</t>
  </si>
  <si>
    <t>https://hpe-my.sharepoint.com/:x:/p/suraj_r-s-ext/IQDIN-YIGdZ9RZmGF_e8gQcLAR-IaMvqxWNGHKx2T1GhluM?e=hSoeI4</t>
  </si>
  <si>
    <t>suraj.r-s</t>
  </si>
  <si>
    <t>qdF9CT!B4GgCA3eLYn</t>
  </si>
  <si>
    <t xml:space="preserve">Unable to Connect to VPN hence used screenshare from Adil (Platform TC) System. </t>
  </si>
  <si>
    <t>CVS Health</t>
  </si>
  <si>
    <t>Pipelines executed in customer namespace project-user-corey-threlfall</t>
  </si>
  <si>
    <t xml:space="preserve">NetIP </t>
  </si>
  <si>
    <t>Nildip</t>
  </si>
  <si>
    <t>hpe_login01</t>
  </si>
  <si>
    <t>#S4R3!kFZbBXGQePvrNf</t>
  </si>
  <si>
    <t>St Jude Children's Research Hospital</t>
  </si>
  <si>
    <t>Pipelines executed in platform tc namespace project-user-vipin-s</t>
  </si>
  <si>
    <t>Datavision</t>
  </si>
  <si>
    <t>Workspace in customers environment, postgres deployed through kubectl and 4th pipeline executed through requests not openapi. Had an issue with llama deployment resolved it by support.</t>
  </si>
  <si>
    <t>QNB Unit 1</t>
  </si>
  <si>
    <t>Pipelines Executed in customer namespace - Abu Baker Faiz - Due to Security Reasons</t>
  </si>
  <si>
    <t>DRI</t>
  </si>
  <si>
    <t xml:space="preserve">Forticlient - hades.madeira.gov.pt
RDP - 10.180.50.1
admin
zMLe1C2OPJ7WZyxNxFHe
 </t>
  </si>
  <si>
    <t>DIGVIJAYKUMAR</t>
  </si>
  <si>
    <t>]@#_x4N#6n.#6#l@jn8y-YK;pxPkVN</t>
  </si>
  <si>
    <t>Data Sources werent viewed in the Page. Raised a Support Case on this
https://*.ngc.nvidia.com was not whitelisted on the prod network leading to failure in model deployment
Pipelines exectuted on Digvijay's account</t>
  </si>
  <si>
    <t>MGT 2026 Upgrade</t>
  </si>
  <si>
    <t xml:space="preserve">CTC </t>
  </si>
  <si>
    <t>Pipelines executed in customer namespace project-user-sweehan-ang</t>
  </si>
  <si>
    <t>QNB Unit 1 Upgrade</t>
  </si>
  <si>
    <t xml:space="preserve">Constant Proxy issues </t>
  </si>
  <si>
    <t>Concat</t>
  </si>
  <si>
    <t>Wireguard.   Conf file.  Rdp 10.10.10.1</t>
  </si>
  <si>
    <t xml:space="preserve">Deployed llama 8b </t>
  </si>
  <si>
    <t>QNB DR Unit</t>
  </si>
  <si>
    <t>DJBC DC UAT Test</t>
  </si>
  <si>
    <t>Same as DJBC DC</t>
  </si>
  <si>
    <t>UAT test for DJBC DR Unit</t>
  </si>
  <si>
    <t>Insight Incorporated</t>
  </si>
  <si>
    <t>Quantum</t>
  </si>
  <si>
    <t>Public Ip: 38.19.41.250 
Client : Palo Alto
user :  pmadhavan
Password :  k?27t(RS#pm)
RDA
172.80.1.100 Administrator Esltda100%</t>
  </si>
  <si>
    <t>GDCC Medium</t>
  </si>
  <si>
    <t>Anydesk ID : 1916648445
    Password : HPEadm#2026
    Windows Account : HPE
    Windows Passwork :  HPEadm#2026</t>
  </si>
  <si>
    <t>GDCC Large</t>
  </si>
  <si>
    <t>Tatung Systems Redeployment</t>
  </si>
  <si>
    <t>Webex Meeting</t>
  </si>
  <si>
    <t>DJBC DR</t>
  </si>
  <si>
    <t>DJBC DR UAT</t>
  </si>
  <si>
    <t>New Media Manitoba</t>
  </si>
  <si>
    <t>Wireguard Tunnel provided as Configuration file</t>
  </si>
  <si>
    <t>Used Automation to perform pipeline testing</t>
  </si>
  <si>
    <t>SLTN</t>
  </si>
  <si>
    <t>Screenshared by customer Gert, Account is mine</t>
  </si>
  <si>
    <t>In Progress</t>
  </si>
  <si>
    <t>Blocked</t>
  </si>
  <si>
    <t>Yet to Start</t>
  </si>
  <si>
    <t>Date</t>
  </si>
  <si>
    <t>PCAI Version</t>
  </si>
  <si>
    <t>AIE Version</t>
  </si>
  <si>
    <t>Logs</t>
  </si>
  <si>
    <t>Solution</t>
  </si>
  <si>
    <t>Support Ticket</t>
  </si>
  <si>
    <t>QNB</t>
  </si>
  <si>
    <t>Airflow Not Up due to git sync</t>
  </si>
  <si>
    <t>Whitelisting in proxy and support team help in bypassing SSL self certification for github url</t>
  </si>
  <si>
    <t>Issue Description</t>
  </si>
  <si>
    <t>Local S3 In error state</t>
  </si>
  <si>
    <t xml:space="preserve">Any </t>
  </si>
  <si>
    <t>Any</t>
  </si>
  <si>
    <t>Delete and re add using the following commands
 kubectl get ezdatasources -n ezdata-system local-s3 -o yaml &gt;/tmp/local-s3 
 kubectl delete ezdatasources -n ezdata-system local-s3 
 kubectl apply -f /tmp/local-s3</t>
  </si>
  <si>
    <t>Model issues</t>
  </si>
  <si>
    <t>kubectl get all -n ezai-services | grep -i llama3-8b
kubectl get all -n ezai-services | grep -i reranker
kubectl rollout restart deployment reranker-a1db2849-predictor-00001-deployment -n ezai-services
kubectl delete configuration.serving.knative.dev/reranker-a1db2849-predictor  -n ezai-services</t>
  </si>
  <si>
    <t>Lllama 3-70b Model Deployment issue</t>
  </si>
  <si>
    <t>PCAI 1.8</t>
  </si>
  <si>
    <t>AIE 1.11</t>
  </si>
  <si>
    <t>This is happening with RTX6K GPUs.Where we have to define the NIM_MODEL_PROFILE for the model to get deployed with the correct Profile</t>
  </si>
  <si>
    <t>Model deployment Failing with error specifying https://xfiles.ngc.nvidia.com</t>
  </si>
  <si>
    <t>This mostly is happening because the customer hasnt whitelisted *.ngc.nvidia.com</t>
  </si>
  <si>
    <t>Model Deployment issue in PCAI-D Environments</t>
  </si>
  <si>
    <t>all the required NIM_PROFILEs are not copied into the S3 bucket.the solution for this involves resyncing the NIM_PROFILE buckets and re running</t>
  </si>
  <si>
    <t>Data Sources Issues</t>
  </si>
  <si>
    <t>AIE 1.12</t>
  </si>
  <si>
    <t>Restart ezpresto</t>
  </si>
  <si>
    <t>📊 PCAI STATISTICS DASHBOARD</t>
  </si>
  <si>
    <t>Current Date:</t>
  </si>
  <si>
    <t>📅 LAST 7 DAYS STATISTICS</t>
  </si>
  <si>
    <t>👤 PER RESOURCE OVERALL STATISTICS</t>
  </si>
  <si>
    <t>📅 WEEKLY STATISTICS</t>
  </si>
  <si>
    <t>Metric</t>
  </si>
  <si>
    <t>Value</t>
  </si>
  <si>
    <t>Testing Tasks</t>
  </si>
  <si>
    <t>Orientation Tasks</t>
  </si>
  <si>
    <t>Testing Hours</t>
  </si>
  <si>
    <t>Orientation Hours</t>
  </si>
  <si>
    <t>Week Starting</t>
  </si>
  <si>
    <t>Total Tasks (Testing)</t>
  </si>
  <si>
    <t>← Current Week</t>
  </si>
  <si>
    <t>Total Tasks (Orientation)</t>
  </si>
  <si>
    <t>Hours Spent (Testing)</t>
  </si>
  <si>
    <t>Hours Spent (Orientation)</t>
  </si>
  <si>
    <t>Tasks Completed</t>
  </si>
  <si>
    <t>Tasks Blocked</t>
  </si>
  <si>
    <t>TOTAL</t>
  </si>
  <si>
    <t>📈 OVERALL STATISTICS</t>
  </si>
  <si>
    <t>📆 MONTHLY STATISTICS</t>
  </si>
  <si>
    <t>Month-Year</t>
  </si>
  <si>
    <t>📊 STATUS BREAKDOWN BY RESOURCE</t>
  </si>
  <si>
    <t>Total Customers</t>
  </si>
  <si>
    <t>Total Testing Hours</t>
  </si>
  <si>
    <t>Total Orientation Hours</t>
  </si>
  <si>
    <t>Tasks Done</t>
  </si>
  <si>
    <t>Tasks Yet to Start</t>
  </si>
  <si>
    <t>VPN Tasks</t>
  </si>
  <si>
    <t>Screen Share Tasks</t>
  </si>
  <si>
    <t>👥 PER RESOURCE PER WEEK STATISTICS (Last 4 Weeks)</t>
  </si>
  <si>
    <t>⏱️ HOURS PER RESOURCE PER WEEK (Last 4 Weeks)</t>
  </si>
  <si>
    <t>Total</t>
  </si>
  <si>
    <t>Total Hrs</t>
  </si>
  <si>
    <t>🔌 TYPE BREAKDOWN BY RESOURCE</t>
  </si>
  <si>
    <t>📅 CURRENT MONTH STATISTICS</t>
  </si>
  <si>
    <t>Current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</si>
</sst>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dd/mmm/yyyy"/>
    <numFmt numFmtId="166" formatCode="mmm/yyyy"/>
  </numFmts>
  <fonts count="18" x14ac:knownFonts="1">
    <font>
      <sz val="11"/>
      <color theme="1"/>
      <name val="Aptos Narrow"/>
      <family val="2"/>
      <scheme val="minor"/>
    </font>
    <font>
      <b/>
      <sz val="12"/>
      <color theme="1"/>
      <name val="Aptos Narrow"/>
      <family val="2"/>
      <scheme val="minor"/>
    </font>
    <font>
      <u/>
      <sz val="11"/>
      <color theme="10"/>
      <name val="Aptos Narrow"/>
      <family val="2"/>
      <scheme val="minor"/>
    </font>
    <font>
      <sz val="11"/>
      <color rgb="FF000000"/>
      <name val="Aptos Narrow"/>
      <family val="2"/>
      <scheme val="minor"/>
    </font>
    <font>
      <sz val="10"/>
      <color rgb="FF000000"/>
      <name val="Arial"/>
      <family val="2"/>
    </font>
    <font>
      <b/>
      <sz val="11"/>
      <color theme="1"/>
      <name val="Aptos Narrow"/>
      <family val="2"/>
      <scheme val="minor"/>
    </font>
    <font>
      <b/>
      <sz val="11"/>
      <color rgb="FFFFFFFF"/>
      <name val="Aptos Narrow"/>
      <family val="2"/>
      <scheme val="minor"/>
    </font>
    <font>
      <b/>
      <sz val="16"/>
      <color theme="1"/>
      <name val="Aptos Narrow"/>
      <family val="2"/>
      <scheme val="minor"/>
    </font>
    <font>
      <b/>
      <sz val="14"/>
      <color rgb="FF0066CC"/>
      <name val="Aptos Narrow"/>
      <family val="2"/>
      <scheme val="minor"/>
    </font>
    <font>
      <b/>
      <sz val="11"/>
      <color rgb="FF000000"/>
      <name val="Aptos Narrow"/>
      <family val="2"/>
      <scheme val="minor"/>
    </font>
    <font>
      <i/>
      <sz val="11"/>
      <color rgb="FF0066CC"/>
      <name val="Aptos Narrow"/>
      <family val="2"/>
      <scheme val="minor"/>
    </font>
    <font>
      <sz val="12"/>
      <color rgb="FF000000"/>
      <name val="Aptos"/>
      <family val="2"/>
    </font>
    <font>
      <sz val="11"/>
      <color theme="1"/>
      <name val="Aptos Narrow"/>
      <scheme val="minor"/>
    </font>
    <font>
      <sz val="11"/>
      <color theme="1"/>
      <name val="Segoe UI"/>
      <charset val="1"/>
    </font>
    <font>
      <sz val="12"/>
      <color rgb="FF000000"/>
      <name val="Aptos Narrow"/>
      <family val="2"/>
    </font>
    <font>
      <sz val="10.5"/>
      <color theme="1"/>
      <name val="Segoe UI"/>
      <family val="2"/>
    </font>
    <font>
      <sz val="11"/>
      <color theme="1"/>
      <name val="Segoe UI"/>
      <family val="2"/>
    </font>
    <font>
      <sz val="10"/>
      <color rgb="FF000000"/>
      <name val="Lato"/>
      <charset val="1"/>
    </font>
  </fonts>
  <fills count="17">
    <fill>
      <patternFill patternType="none"/>
    </fill>
    <fill>
      <patternFill patternType="gray125"/>
    </fill>
    <fill>
      <patternFill patternType="solid">
        <fgColor rgb="FF4472C4"/>
        <bgColor indexed="64"/>
      </patternFill>
    </fill>
    <fill>
      <patternFill patternType="solid">
        <fgColor rgb="FF70AD47"/>
        <bgColor indexed="64"/>
      </patternFill>
    </fill>
    <fill>
      <patternFill patternType="solid">
        <fgColor rgb="FFED7D31"/>
        <bgColor indexed="64"/>
      </patternFill>
    </fill>
    <fill>
      <patternFill patternType="solid">
        <fgColor rgb="FF7030A0"/>
        <bgColor indexed="64"/>
      </patternFill>
    </fill>
    <fill>
      <patternFill patternType="solid">
        <fgColor rgb="FF2E75B6"/>
        <bgColor indexed="64"/>
      </patternFill>
    </fill>
    <fill>
      <patternFill patternType="solid">
        <fgColor rgb="FFC5E0B4"/>
        <bgColor indexed="64"/>
      </patternFill>
    </fill>
    <fill>
      <patternFill patternType="solid">
        <fgColor rgb="FFE2EFDA"/>
        <bgColor indexed="64"/>
      </patternFill>
    </fill>
    <fill>
      <patternFill patternType="solid">
        <fgColor rgb="FF9DC3E6"/>
        <bgColor indexed="64"/>
      </patternFill>
    </fill>
    <fill>
      <patternFill patternType="solid">
        <fgColor rgb="FFE2D5F1"/>
        <bgColor indexed="64"/>
      </patternFill>
    </fill>
    <fill>
      <patternFill patternType="solid">
        <fgColor rgb="FF538135"/>
        <bgColor indexed="64"/>
      </patternFill>
    </fill>
    <fill>
      <patternFill patternType="solid">
        <fgColor rgb="FFC55A11"/>
        <bgColor indexed="64"/>
      </patternFill>
    </fill>
    <fill>
      <patternFill patternType="solid">
        <fgColor rgb="FFFCE4D6"/>
        <bgColor indexed="64"/>
      </patternFill>
    </fill>
    <fill>
      <patternFill patternType="solid">
        <fgColor rgb="FFDDEBF7"/>
        <bgColor indexed="64"/>
      </patternFill>
    </fill>
    <fill>
      <patternFill patternType="solid">
        <fgColor rgb="FF375623"/>
        <bgColor indexed="64"/>
      </patternFill>
    </fill>
    <fill>
      <patternFill patternType="solid">
        <fgColor rgb="FFF7F8FC"/>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right/>
      <top/>
      <bottom style="thin">
        <color rgb="FF000000"/>
      </bottom>
      <diagonal/>
    </border>
  </borders>
  <cellStyleXfs count="2">
    <xf numFmtId="0" fontId="0" fillId="0" borderId="0"/>
    <xf numFmtId="0" fontId="2" fillId="0" borderId="0" applyNumberFormat="0" applyFill="0" applyBorder="0" applyAlignment="0" applyProtection="0"/>
  </cellStyleXfs>
  <cellXfs count="67">
    <xf numFmtId="0" fontId="0" fillId="0" borderId="0" xfId="0"/>
    <xf numFmtId="0" fontId="0" fillId="0" borderId="1" xfId="0" applyBorder="1" applyAlignment="1">
      <alignment wrapText="1"/>
    </xf>
    <xf numFmtId="0" fontId="0" fillId="0" borderId="2" xfId="0" applyBorder="1"/>
    <xf numFmtId="0" fontId="0" fillId="0" borderId="2" xfId="0" applyBorder="1" applyAlignment="1">
      <alignment wrapText="1"/>
    </xf>
    <xf numFmtId="0" fontId="1" fillId="0" borderId="7" xfId="0" applyFont="1" applyBorder="1" applyAlignment="1">
      <alignment wrapText="1"/>
    </xf>
    <xf numFmtId="0" fontId="1" fillId="0" borderId="7" xfId="0" applyFont="1" applyBorder="1" applyAlignment="1">
      <alignment horizontal="center" wrapText="1"/>
    </xf>
    <xf numFmtId="0" fontId="1" fillId="0" borderId="6" xfId="0" applyFont="1" applyBorder="1" applyAlignment="1">
      <alignment horizontal="center" wrapText="1"/>
    </xf>
    <xf numFmtId="0" fontId="0" fillId="0" borderId="15" xfId="0" applyBorder="1" applyAlignment="1">
      <alignment wrapText="1"/>
    </xf>
    <xf numFmtId="0" fontId="2" fillId="0" borderId="2" xfId="1" applyBorder="1" applyAlignment="1">
      <alignment wrapText="1"/>
    </xf>
    <xf numFmtId="0" fontId="3" fillId="0" borderId="2" xfId="1" applyFont="1" applyBorder="1" applyAlignment="1">
      <alignment wrapText="1"/>
    </xf>
    <xf numFmtId="0" fontId="0" fillId="0" borderId="16" xfId="0" applyBorder="1" applyAlignment="1">
      <alignment wrapText="1"/>
    </xf>
    <xf numFmtId="0" fontId="4" fillId="0" borderId="0" xfId="0" applyFont="1"/>
    <xf numFmtId="164" fontId="0" fillId="0" borderId="2" xfId="0" applyNumberFormat="1" applyBorder="1" applyAlignment="1">
      <alignment wrapText="1"/>
    </xf>
    <xf numFmtId="164" fontId="0" fillId="0" borderId="1" xfId="0" applyNumberFormat="1" applyBorder="1" applyAlignment="1">
      <alignment wrapText="1"/>
    </xf>
    <xf numFmtId="164" fontId="0" fillId="0" borderId="14" xfId="0" applyNumberFormat="1" applyBorder="1" applyAlignment="1">
      <alignment wrapText="1"/>
    </xf>
    <xf numFmtId="0" fontId="0" fillId="0" borderId="1" xfId="0" applyBorder="1"/>
    <xf numFmtId="0" fontId="0" fillId="0" borderId="0" xfId="0" applyAlignment="1">
      <alignment wrapText="1"/>
    </xf>
    <xf numFmtId="0" fontId="6" fillId="3" borderId="0" xfId="0" applyFont="1" applyFill="1"/>
    <xf numFmtId="15" fontId="0" fillId="0" borderId="0" xfId="0" applyNumberFormat="1"/>
    <xf numFmtId="0" fontId="6" fillId="2" borderId="0" xfId="0" applyFont="1" applyFill="1"/>
    <xf numFmtId="0" fontId="5" fillId="7" borderId="0" xfId="0" applyFont="1" applyFill="1"/>
    <xf numFmtId="0" fontId="7" fillId="0" borderId="0" xfId="0" applyFont="1"/>
    <xf numFmtId="165" fontId="0" fillId="0" borderId="0" xfId="0" applyNumberFormat="1"/>
    <xf numFmtId="0" fontId="8" fillId="0" borderId="0" xfId="0" applyFont="1"/>
    <xf numFmtId="0" fontId="5" fillId="8" borderId="0" xfId="0" applyFont="1" applyFill="1"/>
    <xf numFmtId="0" fontId="0" fillId="8" borderId="0" xfId="0" applyFill="1"/>
    <xf numFmtId="0" fontId="6" fillId="4" borderId="0" xfId="0" applyFont="1" applyFill="1"/>
    <xf numFmtId="0" fontId="9" fillId="9" borderId="0" xfId="0" applyFont="1" applyFill="1"/>
    <xf numFmtId="0" fontId="10" fillId="0" borderId="0" xfId="0" applyFont="1"/>
    <xf numFmtId="0" fontId="6" fillId="5" borderId="0" xfId="0" applyFont="1" applyFill="1"/>
    <xf numFmtId="16" fontId="6" fillId="5" borderId="0" xfId="0" applyNumberFormat="1" applyFont="1" applyFill="1"/>
    <xf numFmtId="0" fontId="5" fillId="10" borderId="0" xfId="0" applyFont="1" applyFill="1"/>
    <xf numFmtId="0" fontId="0" fillId="10" borderId="0" xfId="0" applyFill="1"/>
    <xf numFmtId="0" fontId="8" fillId="4" borderId="0" xfId="0" applyFont="1" applyFill="1"/>
    <xf numFmtId="0" fontId="6" fillId="11" borderId="0" xfId="0" applyFont="1" applyFill="1"/>
    <xf numFmtId="0" fontId="0" fillId="7" borderId="0" xfId="0" applyFill="1"/>
    <xf numFmtId="0" fontId="6" fillId="12" borderId="0" xfId="0" applyFont="1" applyFill="1"/>
    <xf numFmtId="16" fontId="6" fillId="12" borderId="0" xfId="0" applyNumberFormat="1" applyFont="1" applyFill="1"/>
    <xf numFmtId="0" fontId="5" fillId="13" borderId="0" xfId="0" applyFont="1" applyFill="1"/>
    <xf numFmtId="0" fontId="0" fillId="13" borderId="0" xfId="0" applyFill="1"/>
    <xf numFmtId="0" fontId="6" fillId="6" borderId="0" xfId="0" applyFont="1" applyFill="1"/>
    <xf numFmtId="0" fontId="5" fillId="14" borderId="0" xfId="0" applyFont="1" applyFill="1"/>
    <xf numFmtId="0" fontId="0" fillId="14" borderId="0" xfId="0" applyFill="1"/>
    <xf numFmtId="0" fontId="6" fillId="15" borderId="0" xfId="0" applyFont="1" applyFill="1"/>
    <xf numFmtId="166" fontId="0" fillId="0" borderId="0" xfId="0" applyNumberFormat="1"/>
    <xf numFmtId="0" fontId="11" fillId="0" borderId="0" xfId="0" applyFont="1" applyAlignment="1">
      <alignment wrapText="1"/>
    </xf>
    <xf numFmtId="164" fontId="12" fillId="0" borderId="1" xfId="0" applyNumberFormat="1" applyFont="1" applyBorder="1" applyAlignment="1">
      <alignment wrapText="1"/>
    </xf>
    <xf numFmtId="0" fontId="12" fillId="0" borderId="1" xfId="0" applyFont="1" applyBorder="1" applyAlignment="1">
      <alignment wrapText="1"/>
    </xf>
    <xf numFmtId="0" fontId="12" fillId="0" borderId="2" xfId="0" applyFont="1" applyBorder="1" applyAlignment="1">
      <alignment wrapText="1"/>
    </xf>
    <xf numFmtId="14" fontId="0" fillId="0" borderId="0" xfId="0" applyNumberFormat="1"/>
    <xf numFmtId="0" fontId="13" fillId="0" borderId="0" xfId="0" applyFont="1"/>
    <xf numFmtId="0" fontId="2" fillId="0" borderId="0" xfId="1"/>
    <xf numFmtId="0" fontId="14" fillId="0" borderId="0" xfId="0" applyFont="1"/>
    <xf numFmtId="0" fontId="2" fillId="0" borderId="1" xfId="1" applyBorder="1" applyAlignment="1">
      <alignment wrapText="1"/>
    </xf>
    <xf numFmtId="0" fontId="15" fillId="0" borderId="0" xfId="0" applyFont="1"/>
    <xf numFmtId="0" fontId="16" fillId="0" borderId="0" xfId="0" applyFont="1"/>
    <xf numFmtId="0" fontId="17" fillId="16" borderId="0" xfId="0" applyFont="1" applyFill="1" applyAlignment="1">
      <alignment wrapText="1"/>
    </xf>
    <xf numFmtId="0" fontId="0" fillId="0" borderId="13" xfId="0" applyBorder="1" applyAlignment="1">
      <alignment horizontal="center"/>
    </xf>
    <xf numFmtId="0" fontId="1" fillId="0" borderId="4" xfId="0" applyFont="1" applyBorder="1" applyAlignment="1">
      <alignment horizontal="center" wrapText="1"/>
    </xf>
    <xf numFmtId="0" fontId="1" fillId="0" borderId="7" xfId="0" applyFont="1" applyBorder="1" applyAlignment="1">
      <alignment horizontal="center" wrapText="1"/>
    </xf>
    <xf numFmtId="0" fontId="1" fillId="0" borderId="5" xfId="0" applyFont="1" applyBorder="1" applyAlignment="1">
      <alignment horizontal="center" wrapText="1"/>
    </xf>
    <xf numFmtId="0" fontId="1" fillId="0" borderId="8" xfId="0" applyFont="1" applyBorder="1" applyAlignment="1">
      <alignment horizontal="center" wrapText="1"/>
    </xf>
    <xf numFmtId="0" fontId="1" fillId="0" borderId="9" xfId="0" applyFont="1" applyBorder="1" applyAlignment="1">
      <alignment horizontal="center" wrapText="1"/>
    </xf>
    <xf numFmtId="0" fontId="1" fillId="0" borderId="10" xfId="0" applyFont="1" applyBorder="1" applyAlignment="1">
      <alignment horizontal="center" wrapText="1"/>
    </xf>
    <xf numFmtId="0" fontId="1" fillId="0" borderId="3" xfId="0" applyFont="1" applyBorder="1" applyAlignment="1">
      <alignment horizontal="center" wrapText="1"/>
    </xf>
    <xf numFmtId="0" fontId="1" fillId="0" borderId="11" xfId="0" applyFont="1" applyBorder="1" applyAlignment="1">
      <alignment horizontal="center" wrapText="1"/>
    </xf>
    <xf numFmtId="0" fontId="1" fillId="0" borderId="12" xfId="0" applyFont="1" applyBorder="1" applyAlignment="1">
      <alignment horizontal="center" wrapText="1"/>
    </xf>
  </cellXfs>
  <cellStyles count="2">
    <cellStyle name="Hyperlink" xfId="1" builtinId="8"/>
    <cellStyle name="Normal" xfId="0" builtinId="0"/>
  </cellStyles>
  <dxfs count="6">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0000"/>
        </patternFill>
      </fill>
    </dxf>
    <dxf>
      <fill>
        <patternFill>
          <bgColor rgb="FFFF0000"/>
        </patternFill>
      </fill>
    </dxf>
  </dxfs>
  <tableStyles count="0" defaultTableStyle="TableStyleMedium2" defaultPivotStyle="PivotStyleLight16"/>
  <colors>
    <mruColors>
      <color rgb="FFFF0000"/>
      <color rgb="FFFF8F8F"/>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urldefense.com/v3/__https:/vpn.infraestruturasdeportugal.pt/sslvpn/Login/Login__;!!NpxR!jweiTjtYHp71a0luU2zmAIOIiUiy3kv7n_DbXVzoqpwPZep10EQn6rsNWH1TooMX3uBrQYgbYyUdzQRBh3jXnh_eH2C2gp5Yo4M$" TargetMode="External"/><Relationship Id="rId7" Type="http://schemas.openxmlformats.org/officeDocument/2006/relationships/hyperlink" Target="https://hp.lightning.force.com/lightning/r/500Kh00000mg92oIAA/view" TargetMode="External"/><Relationship Id="rId2" Type="http://schemas.openxmlformats.org/officeDocument/2006/relationships/hyperlink" Target="https://isecure.lupin.com/Home/Login" TargetMode="External"/><Relationship Id="rId1" Type="http://schemas.openxmlformats.org/officeDocument/2006/relationships/hyperlink" Target="mailto:u449364@danfoss.com" TargetMode="External"/><Relationship Id="rId6" Type="http://schemas.openxmlformats.org/officeDocument/2006/relationships/hyperlink" Target="https://hpe-my.sharepoint.com/:x:/p/suraj_r-s-ext/IQDIN-YIGdZ9RZmGF_e8gQcLAR-IaMvqxWNGHKx2T1GhluM?e=hSoeI4" TargetMode="External"/><Relationship Id="rId5" Type="http://schemas.openxmlformats.org/officeDocument/2006/relationships/hyperlink" Target="mailto:adm-srs@extinfocheops.local" TargetMode="External"/><Relationship Id="rId4" Type="http://schemas.openxmlformats.org/officeDocument/2006/relationships/hyperlink" Target="mailto:s.upadhyaya.pcai@mgmt.loca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hp.lightning.force.com/lightning/r/500Kh00000mg92oIAA/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82095-B7F3-4C0A-AECE-0705C515D871}">
  <dimension ref="A1:AB102"/>
  <sheetViews>
    <sheetView tabSelected="1" topLeftCell="A69" zoomScale="85" zoomScaleNormal="85" workbookViewId="0">
      <selection activeCell="B74" sqref="B74"/>
    </sheetView>
  </sheetViews>
  <sheetFormatPr defaultColWidth="8.88671875" defaultRowHeight="14.4" x14ac:dyDescent="0.3"/>
  <cols>
    <col min="1" max="1" width="18" customWidth="1"/>
    <col min="2" max="2" width="16.109375" customWidth="1"/>
    <col min="3" max="3" width="15.44140625" customWidth="1"/>
    <col min="4" max="4" width="9.109375" customWidth="1"/>
    <col min="5" max="5" width="9.44140625" customWidth="1"/>
    <col min="6" max="6" width="20.6640625" customWidth="1"/>
    <col min="7" max="7" width="11.44140625" customWidth="1"/>
    <col min="8" max="8" width="48.109375" customWidth="1"/>
    <col min="9" max="9" width="11.44140625" customWidth="1"/>
    <col min="10" max="10" width="16" customWidth="1"/>
    <col min="11" max="11" width="7.44140625" customWidth="1"/>
    <col min="12" max="12" width="11.44140625" customWidth="1"/>
    <col min="13" max="13" width="8.44140625" customWidth="1"/>
    <col min="14" max="14" width="11.6640625" customWidth="1"/>
    <col min="15" max="15" width="56.109375" bestFit="1" customWidth="1"/>
    <col min="16" max="16" width="16.44140625" customWidth="1"/>
  </cols>
  <sheetData>
    <row r="1" spans="1:28" ht="18" customHeight="1" x14ac:dyDescent="0.3">
      <c r="A1" s="64" t="s">
        <v>0</v>
      </c>
      <c r="B1" s="58"/>
      <c r="C1" s="58" t="s">
        <v>1</v>
      </c>
      <c r="D1" s="58" t="s">
        <v>2</v>
      </c>
      <c r="E1" s="65" t="s">
        <v>3</v>
      </c>
      <c r="F1" s="58" t="s">
        <v>4</v>
      </c>
      <c r="G1" s="58"/>
      <c r="H1" s="58" t="s">
        <v>5</v>
      </c>
      <c r="I1" s="58"/>
      <c r="J1" s="58"/>
      <c r="K1" s="62" t="s">
        <v>6</v>
      </c>
      <c r="L1" s="63"/>
      <c r="M1" s="58" t="s">
        <v>7</v>
      </c>
      <c r="N1" s="58"/>
      <c r="O1" s="58" t="s">
        <v>8</v>
      </c>
      <c r="P1" s="60" t="s">
        <v>9</v>
      </c>
      <c r="Q1" s="57"/>
    </row>
    <row r="2" spans="1:28" ht="18.600000000000001" customHeight="1" x14ac:dyDescent="0.3">
      <c r="A2" s="6" t="s">
        <v>10</v>
      </c>
      <c r="B2" s="5" t="s">
        <v>11</v>
      </c>
      <c r="C2" s="59"/>
      <c r="D2" s="59"/>
      <c r="E2" s="66"/>
      <c r="F2" s="4" t="s">
        <v>10</v>
      </c>
      <c r="G2" s="4" t="s">
        <v>11</v>
      </c>
      <c r="H2" s="4" t="s">
        <v>12</v>
      </c>
      <c r="I2" s="4" t="s">
        <v>13</v>
      </c>
      <c r="J2" s="4" t="s">
        <v>14</v>
      </c>
      <c r="K2" s="4" t="s">
        <v>10</v>
      </c>
      <c r="L2" s="4" t="s">
        <v>11</v>
      </c>
      <c r="M2" s="5" t="s">
        <v>10</v>
      </c>
      <c r="N2" s="4" t="s">
        <v>11</v>
      </c>
      <c r="O2" s="59"/>
      <c r="P2" s="61"/>
      <c r="Q2" s="57"/>
    </row>
    <row r="3" spans="1:28" ht="29.1" customHeight="1" x14ac:dyDescent="0.3">
      <c r="A3" s="12">
        <v>45975</v>
      </c>
      <c r="B3" s="12">
        <v>45986</v>
      </c>
      <c r="C3" s="3" t="s">
        <v>15</v>
      </c>
      <c r="D3" s="3" t="s">
        <v>16</v>
      </c>
      <c r="E3" s="3" t="s">
        <v>5</v>
      </c>
      <c r="F3" s="3" t="s">
        <v>17</v>
      </c>
      <c r="G3" s="3" t="s">
        <v>17</v>
      </c>
      <c r="H3" s="3" t="s">
        <v>18</v>
      </c>
      <c r="I3" s="3" t="s">
        <v>19</v>
      </c>
      <c r="J3" s="3" t="s">
        <v>20</v>
      </c>
      <c r="K3" s="3" t="s">
        <v>21</v>
      </c>
      <c r="L3" s="3" t="s">
        <v>21</v>
      </c>
      <c r="M3" s="3">
        <v>6</v>
      </c>
      <c r="N3" s="3">
        <v>2</v>
      </c>
      <c r="O3" s="3" t="s">
        <v>22</v>
      </c>
      <c r="P3" s="3">
        <v>5393542826</v>
      </c>
      <c r="Q3" s="2"/>
      <c r="R3" s="2"/>
      <c r="S3" s="2"/>
      <c r="T3" s="2"/>
      <c r="U3" s="2"/>
      <c r="V3" s="2"/>
      <c r="W3" s="2"/>
      <c r="X3" s="2"/>
      <c r="Y3" s="2"/>
      <c r="Z3" s="2"/>
      <c r="AA3" s="2"/>
      <c r="AB3" s="2"/>
    </row>
    <row r="4" spans="1:28" ht="29.1" customHeight="1" x14ac:dyDescent="0.3">
      <c r="A4" s="12">
        <v>46087</v>
      </c>
      <c r="B4" s="12">
        <v>46093</v>
      </c>
      <c r="C4" s="3" t="s">
        <v>23</v>
      </c>
      <c r="D4" s="3" t="s">
        <v>16</v>
      </c>
      <c r="E4" s="3" t="s">
        <v>5</v>
      </c>
      <c r="F4" s="3" t="s">
        <v>17</v>
      </c>
      <c r="G4" s="3" t="s">
        <v>17</v>
      </c>
      <c r="H4" s="3" t="s">
        <v>24</v>
      </c>
      <c r="I4" s="3" t="s">
        <v>25</v>
      </c>
      <c r="J4" s="3" t="s">
        <v>26</v>
      </c>
      <c r="K4" s="3" t="s">
        <v>21</v>
      </c>
      <c r="L4" s="3" t="s">
        <v>21</v>
      </c>
      <c r="M4" s="3">
        <v>3</v>
      </c>
      <c r="N4" s="3">
        <v>2</v>
      </c>
      <c r="O4" s="3" t="s">
        <v>27</v>
      </c>
      <c r="P4" s="3"/>
      <c r="Q4" s="3"/>
      <c r="R4" s="2"/>
      <c r="S4" s="2"/>
      <c r="T4" s="2"/>
      <c r="U4" s="2"/>
      <c r="V4" s="2"/>
      <c r="W4" s="2"/>
      <c r="X4" s="2"/>
      <c r="Y4" s="2"/>
      <c r="Z4" s="2"/>
      <c r="AA4" s="2"/>
      <c r="AB4" s="2"/>
    </row>
    <row r="5" spans="1:28" ht="29.1" customHeight="1" x14ac:dyDescent="0.3">
      <c r="A5" s="12">
        <v>46093</v>
      </c>
      <c r="B5" s="12">
        <v>46186</v>
      </c>
      <c r="C5" s="3" t="s">
        <v>28</v>
      </c>
      <c r="D5" s="3" t="s">
        <v>29</v>
      </c>
      <c r="E5" s="3" t="s">
        <v>30</v>
      </c>
      <c r="F5" s="3" t="s">
        <v>17</v>
      </c>
      <c r="G5" s="3" t="s">
        <v>17</v>
      </c>
      <c r="H5" s="3" t="str">
        <f>IF(E5="Screen Share", "NA", "")</f>
        <v>NA</v>
      </c>
      <c r="I5" s="3" t="str">
        <f>IF(E5="Screen Share", "NA", "")</f>
        <v>NA</v>
      </c>
      <c r="J5" s="3" t="str">
        <f>IF(E5="Screen Share", "NA", "")</f>
        <v>NA</v>
      </c>
      <c r="K5" s="3" t="s">
        <v>21</v>
      </c>
      <c r="L5" s="3" t="s">
        <v>21</v>
      </c>
      <c r="M5" s="3">
        <v>5</v>
      </c>
      <c r="N5" s="3">
        <v>2</v>
      </c>
      <c r="O5" s="3"/>
      <c r="P5" s="3">
        <v>5401716615</v>
      </c>
      <c r="Q5" s="2"/>
      <c r="R5" s="2"/>
      <c r="S5" s="2"/>
      <c r="T5" s="2"/>
      <c r="U5" s="2"/>
      <c r="V5" s="2"/>
      <c r="W5" s="2"/>
      <c r="X5" s="2"/>
      <c r="Y5" s="2"/>
      <c r="Z5" s="2"/>
      <c r="AA5" s="2"/>
      <c r="AB5" s="2"/>
    </row>
    <row r="6" spans="1:28" ht="29.1" customHeight="1" x14ac:dyDescent="0.3">
      <c r="A6" s="12" t="s">
        <v>31</v>
      </c>
      <c r="B6" s="12" t="s">
        <v>31</v>
      </c>
      <c r="C6" s="3" t="s">
        <v>32</v>
      </c>
      <c r="D6" s="3" t="s">
        <v>31</v>
      </c>
      <c r="E6" s="3" t="s">
        <v>31</v>
      </c>
      <c r="F6" s="3" t="s">
        <v>17</v>
      </c>
      <c r="G6" s="3" t="s">
        <v>31</v>
      </c>
      <c r="H6" s="3" t="s">
        <v>31</v>
      </c>
      <c r="I6" s="3" t="s">
        <v>31</v>
      </c>
      <c r="J6" s="3" t="s">
        <v>31</v>
      </c>
      <c r="K6" s="3" t="s">
        <v>21</v>
      </c>
      <c r="L6" s="3" t="s">
        <v>31</v>
      </c>
      <c r="M6" s="3" t="s">
        <v>31</v>
      </c>
      <c r="N6" s="3" t="s">
        <v>31</v>
      </c>
      <c r="O6" s="3" t="s">
        <v>31</v>
      </c>
      <c r="P6" s="3" t="s">
        <v>31</v>
      </c>
      <c r="Q6" s="2"/>
      <c r="R6" s="2"/>
      <c r="S6" s="2"/>
      <c r="T6" s="2"/>
      <c r="U6" s="2"/>
      <c r="V6" s="2"/>
      <c r="W6" s="2"/>
      <c r="X6" s="2"/>
      <c r="Y6" s="2"/>
      <c r="Z6" s="2"/>
      <c r="AA6" s="2"/>
      <c r="AB6" s="2"/>
    </row>
    <row r="7" spans="1:28" ht="29.1" customHeight="1" x14ac:dyDescent="0.3">
      <c r="A7" s="12">
        <v>46055</v>
      </c>
      <c r="B7" s="12" t="s">
        <v>31</v>
      </c>
      <c r="C7" s="3" t="s">
        <v>33</v>
      </c>
      <c r="D7" s="3" t="s">
        <v>16</v>
      </c>
      <c r="E7" s="3" t="s">
        <v>30</v>
      </c>
      <c r="F7" s="3" t="s">
        <v>34</v>
      </c>
      <c r="G7" s="3" t="s">
        <v>17</v>
      </c>
      <c r="H7" s="3" t="s">
        <v>35</v>
      </c>
      <c r="I7" s="3" t="s">
        <v>35</v>
      </c>
      <c r="J7" s="3" t="s">
        <v>31</v>
      </c>
      <c r="K7" s="3" t="s">
        <v>21</v>
      </c>
      <c r="L7" s="3" t="s">
        <v>31</v>
      </c>
      <c r="M7" s="3">
        <v>3</v>
      </c>
      <c r="N7" s="3" t="s">
        <v>31</v>
      </c>
      <c r="O7" s="3" t="s">
        <v>31</v>
      </c>
      <c r="P7" s="3" t="s">
        <v>31</v>
      </c>
      <c r="Q7" s="2"/>
      <c r="R7" s="2"/>
      <c r="S7" s="2"/>
      <c r="T7" s="2"/>
      <c r="U7" s="2"/>
      <c r="V7" s="2"/>
      <c r="W7" s="2"/>
      <c r="X7" s="2"/>
      <c r="Y7" s="2"/>
      <c r="Z7" s="2"/>
      <c r="AA7" s="2"/>
      <c r="AB7" s="2"/>
    </row>
    <row r="8" spans="1:28" ht="29.1" customHeight="1" x14ac:dyDescent="0.3">
      <c r="A8" s="12" t="s">
        <v>31</v>
      </c>
      <c r="B8" s="12" t="s">
        <v>31</v>
      </c>
      <c r="C8" s="3" t="s">
        <v>36</v>
      </c>
      <c r="D8" s="3" t="s">
        <v>31</v>
      </c>
      <c r="E8" s="3" t="s">
        <v>31</v>
      </c>
      <c r="F8" s="3" t="s">
        <v>37</v>
      </c>
      <c r="G8" s="3" t="s">
        <v>31</v>
      </c>
      <c r="H8" s="3" t="s">
        <v>31</v>
      </c>
      <c r="I8" s="3" t="s">
        <v>31</v>
      </c>
      <c r="J8" s="3" t="s">
        <v>31</v>
      </c>
      <c r="K8" s="3" t="s">
        <v>21</v>
      </c>
      <c r="L8" s="3" t="s">
        <v>31</v>
      </c>
      <c r="M8" s="3">
        <v>3</v>
      </c>
      <c r="N8" s="3">
        <v>2</v>
      </c>
      <c r="O8" s="3" t="s">
        <v>31</v>
      </c>
      <c r="P8" s="3" t="s">
        <v>31</v>
      </c>
      <c r="Q8" s="2"/>
      <c r="R8" s="2"/>
      <c r="S8" s="2"/>
      <c r="T8" s="2"/>
      <c r="U8" s="2"/>
      <c r="V8" s="2"/>
      <c r="W8" s="2"/>
      <c r="X8" s="2"/>
      <c r="Y8" s="2"/>
      <c r="Z8" s="2"/>
      <c r="AA8" s="2"/>
      <c r="AB8" s="2"/>
    </row>
    <row r="9" spans="1:28" ht="29.1" customHeight="1" x14ac:dyDescent="0.3">
      <c r="A9" s="12" t="s">
        <v>31</v>
      </c>
      <c r="B9" s="12" t="s">
        <v>31</v>
      </c>
      <c r="C9" s="3" t="s">
        <v>38</v>
      </c>
      <c r="D9" s="3" t="s">
        <v>31</v>
      </c>
      <c r="E9" s="3" t="s">
        <v>31</v>
      </c>
      <c r="F9" s="3" t="s">
        <v>37</v>
      </c>
      <c r="G9" s="3" t="s">
        <v>31</v>
      </c>
      <c r="H9" s="3" t="s">
        <v>31</v>
      </c>
      <c r="I9" s="3" t="s">
        <v>31</v>
      </c>
      <c r="J9" s="3" t="s">
        <v>31</v>
      </c>
      <c r="K9" s="3" t="s">
        <v>21</v>
      </c>
      <c r="L9" s="3" t="s">
        <v>31</v>
      </c>
      <c r="M9" s="3">
        <v>3</v>
      </c>
      <c r="N9" s="3">
        <v>2</v>
      </c>
      <c r="O9" s="3" t="s">
        <v>31</v>
      </c>
      <c r="P9" s="3" t="s">
        <v>31</v>
      </c>
      <c r="Q9" s="2"/>
      <c r="R9" s="2"/>
      <c r="S9" s="2"/>
      <c r="T9" s="2"/>
      <c r="U9" s="2"/>
      <c r="V9" s="2"/>
      <c r="W9" s="2"/>
      <c r="X9" s="2"/>
      <c r="Y9" s="2"/>
      <c r="Z9" s="2"/>
      <c r="AA9" s="2"/>
      <c r="AB9" s="2"/>
    </row>
    <row r="10" spans="1:28" ht="29.1" customHeight="1" x14ac:dyDescent="0.3">
      <c r="A10" s="12" t="s">
        <v>31</v>
      </c>
      <c r="B10" s="12" t="s">
        <v>31</v>
      </c>
      <c r="C10" s="3" t="s">
        <v>39</v>
      </c>
      <c r="D10" s="3" t="s">
        <v>31</v>
      </c>
      <c r="E10" s="3" t="s">
        <v>31</v>
      </c>
      <c r="F10" s="3" t="s">
        <v>40</v>
      </c>
      <c r="G10" s="3" t="s">
        <v>31</v>
      </c>
      <c r="H10" s="3" t="s">
        <v>31</v>
      </c>
      <c r="I10" s="3" t="s">
        <v>31</v>
      </c>
      <c r="J10" s="3" t="s">
        <v>31</v>
      </c>
      <c r="K10" s="3" t="s">
        <v>21</v>
      </c>
      <c r="L10" s="3" t="s">
        <v>31</v>
      </c>
      <c r="M10" s="3" t="s">
        <v>31</v>
      </c>
      <c r="N10" s="3" t="s">
        <v>31</v>
      </c>
      <c r="O10" s="3" t="s">
        <v>31</v>
      </c>
      <c r="P10" s="3" t="s">
        <v>31</v>
      </c>
      <c r="Q10" s="2"/>
      <c r="R10" s="2"/>
      <c r="S10" s="2"/>
      <c r="T10" s="2"/>
      <c r="U10" s="2"/>
      <c r="V10" s="2"/>
      <c r="W10" s="2"/>
      <c r="X10" s="2"/>
      <c r="Y10" s="2"/>
      <c r="Z10" s="2"/>
      <c r="AA10" s="2"/>
      <c r="AB10" s="2"/>
    </row>
    <row r="11" spans="1:28" ht="29.1" customHeight="1" x14ac:dyDescent="0.3">
      <c r="A11" s="12" t="s">
        <v>31</v>
      </c>
      <c r="B11" s="12" t="s">
        <v>31</v>
      </c>
      <c r="C11" s="3" t="s">
        <v>41</v>
      </c>
      <c r="D11" s="3" t="s">
        <v>31</v>
      </c>
      <c r="E11" s="3" t="s">
        <v>31</v>
      </c>
      <c r="F11" s="3" t="s">
        <v>40</v>
      </c>
      <c r="G11" s="3" t="s">
        <v>31</v>
      </c>
      <c r="H11" s="3" t="s">
        <v>31</v>
      </c>
      <c r="I11" s="3" t="s">
        <v>31</v>
      </c>
      <c r="J11" s="3" t="s">
        <v>31</v>
      </c>
      <c r="K11" s="3" t="s">
        <v>21</v>
      </c>
      <c r="L11" s="3" t="s">
        <v>31</v>
      </c>
      <c r="M11" s="3" t="s">
        <v>31</v>
      </c>
      <c r="N11" s="3" t="s">
        <v>31</v>
      </c>
      <c r="O11" s="3" t="s">
        <v>31</v>
      </c>
      <c r="P11" s="3" t="s">
        <v>31</v>
      </c>
      <c r="Q11" s="2"/>
      <c r="R11" s="2"/>
      <c r="S11" s="2"/>
      <c r="T11" s="2"/>
      <c r="U11" s="2"/>
      <c r="V11" s="2"/>
      <c r="W11" s="2"/>
      <c r="X11" s="2"/>
      <c r="Y11" s="2"/>
      <c r="Z11" s="2"/>
      <c r="AA11" s="2"/>
      <c r="AB11" s="2"/>
    </row>
    <row r="12" spans="1:28" ht="29.1" customHeight="1" x14ac:dyDescent="0.3">
      <c r="A12" s="12">
        <v>46297</v>
      </c>
      <c r="B12" s="12" t="s">
        <v>31</v>
      </c>
      <c r="C12" s="3" t="s">
        <v>42</v>
      </c>
      <c r="D12" s="3" t="s">
        <v>31</v>
      </c>
      <c r="E12" s="3" t="s">
        <v>30</v>
      </c>
      <c r="F12" s="3" t="s">
        <v>43</v>
      </c>
      <c r="G12" s="3" t="s">
        <v>31</v>
      </c>
      <c r="H12" s="3" t="s">
        <v>31</v>
      </c>
      <c r="I12" s="3" t="s">
        <v>31</v>
      </c>
      <c r="J12" s="3" t="s">
        <v>31</v>
      </c>
      <c r="K12" s="3" t="s">
        <v>21</v>
      </c>
      <c r="L12" s="3" t="s">
        <v>31</v>
      </c>
      <c r="M12" s="3">
        <v>2</v>
      </c>
      <c r="N12" s="3">
        <v>1</v>
      </c>
      <c r="O12" s="3" t="s">
        <v>31</v>
      </c>
      <c r="P12" s="3" t="s">
        <v>31</v>
      </c>
      <c r="Q12" s="2"/>
      <c r="R12" s="2"/>
      <c r="S12" s="2"/>
      <c r="T12" s="2"/>
      <c r="U12" s="2"/>
      <c r="V12" s="2"/>
      <c r="W12" s="2"/>
      <c r="X12" s="2"/>
      <c r="Y12" s="2"/>
      <c r="Z12" s="2"/>
      <c r="AA12" s="2"/>
      <c r="AB12" s="2"/>
    </row>
    <row r="13" spans="1:28" ht="29.1" customHeight="1" x14ac:dyDescent="0.3">
      <c r="A13" s="12">
        <v>46176</v>
      </c>
      <c r="B13" s="12" t="s">
        <v>31</v>
      </c>
      <c r="C13" s="3" t="s">
        <v>44</v>
      </c>
      <c r="D13" s="3" t="s">
        <v>45</v>
      </c>
      <c r="E13" s="3" t="s">
        <v>30</v>
      </c>
      <c r="F13" s="3" t="s">
        <v>43</v>
      </c>
      <c r="G13" s="3" t="s">
        <v>37</v>
      </c>
      <c r="H13" s="3" t="s">
        <v>31</v>
      </c>
      <c r="I13" s="3" t="s">
        <v>31</v>
      </c>
      <c r="J13" s="3" t="s">
        <v>31</v>
      </c>
      <c r="K13" s="3" t="s">
        <v>21</v>
      </c>
      <c r="L13" s="3" t="s">
        <v>31</v>
      </c>
      <c r="M13" s="3">
        <v>4</v>
      </c>
      <c r="N13" s="3">
        <v>2</v>
      </c>
      <c r="O13" s="3" t="s">
        <v>46</v>
      </c>
      <c r="P13" s="3" t="s">
        <v>31</v>
      </c>
      <c r="Q13" s="2"/>
      <c r="R13" s="2"/>
      <c r="S13" s="2"/>
      <c r="T13" s="2"/>
      <c r="U13" s="2"/>
      <c r="V13" s="2"/>
      <c r="W13" s="2"/>
      <c r="X13" s="2"/>
      <c r="Y13" s="2"/>
      <c r="Z13" s="2"/>
      <c r="AA13" s="2"/>
      <c r="AB13" s="2"/>
    </row>
    <row r="14" spans="1:28" ht="29.1" customHeight="1" x14ac:dyDescent="0.3">
      <c r="A14" s="12" t="s">
        <v>31</v>
      </c>
      <c r="B14" s="12" t="s">
        <v>31</v>
      </c>
      <c r="C14" s="3" t="s">
        <v>47</v>
      </c>
      <c r="D14" s="3" t="s">
        <v>31</v>
      </c>
      <c r="E14" s="3" t="s">
        <v>31</v>
      </c>
      <c r="F14" s="3" t="s">
        <v>40</v>
      </c>
      <c r="G14" s="3" t="s">
        <v>31</v>
      </c>
      <c r="H14" s="3" t="s">
        <v>31</v>
      </c>
      <c r="I14" s="3" t="s">
        <v>31</v>
      </c>
      <c r="J14" s="3" t="s">
        <v>31</v>
      </c>
      <c r="K14" s="3" t="s">
        <v>21</v>
      </c>
      <c r="L14" s="3" t="s">
        <v>31</v>
      </c>
      <c r="M14" s="3" t="s">
        <v>31</v>
      </c>
      <c r="N14" s="3" t="s">
        <v>31</v>
      </c>
      <c r="O14" s="3" t="s">
        <v>31</v>
      </c>
      <c r="P14" s="3" t="s">
        <v>31</v>
      </c>
      <c r="Q14" s="2"/>
      <c r="R14" s="2"/>
      <c r="S14" s="2"/>
      <c r="T14" s="2"/>
      <c r="U14" s="2"/>
      <c r="V14" s="2"/>
      <c r="W14" s="2"/>
      <c r="X14" s="2"/>
      <c r="Y14" s="2"/>
      <c r="Z14" s="2"/>
      <c r="AA14" s="2"/>
      <c r="AB14" s="2"/>
    </row>
    <row r="15" spans="1:28" ht="29.1" customHeight="1" x14ac:dyDescent="0.3">
      <c r="A15" s="12" t="s">
        <v>31</v>
      </c>
      <c r="B15" s="12" t="s">
        <v>31</v>
      </c>
      <c r="C15" s="3" t="s">
        <v>48</v>
      </c>
      <c r="D15" s="3" t="s">
        <v>31</v>
      </c>
      <c r="E15" s="3" t="s">
        <v>31</v>
      </c>
      <c r="F15" s="3" t="s">
        <v>37</v>
      </c>
      <c r="G15" s="3" t="s">
        <v>37</v>
      </c>
      <c r="H15" s="3" t="s">
        <v>31</v>
      </c>
      <c r="I15" s="3" t="s">
        <v>31</v>
      </c>
      <c r="J15" s="3" t="s">
        <v>31</v>
      </c>
      <c r="K15" s="3" t="s">
        <v>21</v>
      </c>
      <c r="L15" s="3" t="s">
        <v>31</v>
      </c>
      <c r="M15" s="3" t="s">
        <v>31</v>
      </c>
      <c r="N15" s="3">
        <v>2</v>
      </c>
      <c r="O15" s="3" t="s">
        <v>31</v>
      </c>
      <c r="P15" s="3" t="s">
        <v>31</v>
      </c>
      <c r="Q15" s="2"/>
      <c r="R15" s="2"/>
      <c r="S15" s="2"/>
      <c r="T15" s="2"/>
      <c r="U15" s="2"/>
      <c r="V15" s="2"/>
      <c r="W15" s="2"/>
      <c r="X15" s="2"/>
      <c r="Y15" s="2"/>
      <c r="Z15" s="2"/>
      <c r="AA15" s="2"/>
      <c r="AB15" s="2"/>
    </row>
    <row r="16" spans="1:28" ht="29.1" customHeight="1" x14ac:dyDescent="0.3">
      <c r="A16" s="12">
        <v>46358</v>
      </c>
      <c r="B16" s="12" t="s">
        <v>31</v>
      </c>
      <c r="C16" s="3" t="s">
        <v>49</v>
      </c>
      <c r="D16" s="3" t="s">
        <v>50</v>
      </c>
      <c r="E16" s="3" t="s">
        <v>30</v>
      </c>
      <c r="F16" s="3" t="s">
        <v>34</v>
      </c>
      <c r="G16" s="3" t="s">
        <v>31</v>
      </c>
      <c r="H16" s="3" t="s">
        <v>35</v>
      </c>
      <c r="I16" s="3" t="s">
        <v>35</v>
      </c>
      <c r="J16" s="3" t="s">
        <v>31</v>
      </c>
      <c r="K16" s="3" t="s">
        <v>21</v>
      </c>
      <c r="L16" s="3" t="s">
        <v>31</v>
      </c>
      <c r="M16" s="3">
        <v>2</v>
      </c>
      <c r="N16" s="3" t="s">
        <v>31</v>
      </c>
      <c r="O16" s="3" t="s">
        <v>31</v>
      </c>
      <c r="P16" s="3" t="s">
        <v>31</v>
      </c>
      <c r="Q16" s="2"/>
      <c r="R16" s="2"/>
      <c r="S16" s="2"/>
      <c r="T16" s="2"/>
      <c r="U16" s="2"/>
      <c r="V16" s="2"/>
      <c r="W16" s="2"/>
      <c r="X16" s="2"/>
      <c r="Y16" s="2"/>
      <c r="Z16" s="2"/>
      <c r="AA16" s="2"/>
      <c r="AB16" s="2"/>
    </row>
    <row r="17" spans="1:28" ht="29.1" customHeight="1" x14ac:dyDescent="0.3">
      <c r="A17" s="12">
        <v>46077</v>
      </c>
      <c r="B17" s="12" t="s">
        <v>31</v>
      </c>
      <c r="C17" s="3" t="s">
        <v>51</v>
      </c>
      <c r="D17" s="3" t="s">
        <v>31</v>
      </c>
      <c r="E17" s="3" t="s">
        <v>5</v>
      </c>
      <c r="F17" s="3" t="s">
        <v>52</v>
      </c>
      <c r="G17" s="3" t="s">
        <v>17</v>
      </c>
      <c r="H17" s="3" t="s">
        <v>31</v>
      </c>
      <c r="I17" s="3" t="s">
        <v>31</v>
      </c>
      <c r="J17" s="3" t="s">
        <v>31</v>
      </c>
      <c r="K17" s="3" t="s">
        <v>21</v>
      </c>
      <c r="L17" s="3" t="s">
        <v>21</v>
      </c>
      <c r="M17" s="3" t="s">
        <v>31</v>
      </c>
      <c r="N17" s="3">
        <v>2</v>
      </c>
      <c r="O17" s="3" t="s">
        <v>31</v>
      </c>
      <c r="P17" s="3" t="s">
        <v>31</v>
      </c>
      <c r="Q17" s="2"/>
      <c r="R17" s="2"/>
      <c r="S17" s="2"/>
      <c r="T17" s="2"/>
      <c r="U17" s="2"/>
      <c r="V17" s="2"/>
      <c r="W17" s="2"/>
      <c r="X17" s="2"/>
      <c r="Y17" s="2"/>
      <c r="Z17" s="2"/>
      <c r="AA17" s="2"/>
      <c r="AB17" s="2"/>
    </row>
    <row r="18" spans="1:28" ht="29.1" customHeight="1" x14ac:dyDescent="0.3">
      <c r="A18" s="12">
        <v>46145</v>
      </c>
      <c r="B18" s="12" t="s">
        <v>31</v>
      </c>
      <c r="C18" s="3" t="s">
        <v>53</v>
      </c>
      <c r="D18" s="3" t="s">
        <v>54</v>
      </c>
      <c r="E18" s="3" t="s">
        <v>5</v>
      </c>
      <c r="F18" s="3" t="s">
        <v>34</v>
      </c>
      <c r="G18" s="3" t="s">
        <v>37</v>
      </c>
      <c r="H18" s="3" t="s">
        <v>35</v>
      </c>
      <c r="I18" s="3" t="s">
        <v>35</v>
      </c>
      <c r="J18" s="3" t="s">
        <v>31</v>
      </c>
      <c r="K18" s="3" t="s">
        <v>21</v>
      </c>
      <c r="L18" s="3" t="s">
        <v>31</v>
      </c>
      <c r="M18" s="3">
        <v>3</v>
      </c>
      <c r="N18" s="3">
        <v>2</v>
      </c>
      <c r="O18" s="3" t="s">
        <v>31</v>
      </c>
      <c r="P18" s="3" t="s">
        <v>31</v>
      </c>
      <c r="Q18" s="2"/>
      <c r="R18" s="2"/>
      <c r="S18" s="2"/>
      <c r="T18" s="2"/>
      <c r="U18" s="2"/>
      <c r="V18" s="2"/>
      <c r="W18" s="2"/>
      <c r="X18" s="2"/>
      <c r="Y18" s="2"/>
      <c r="Z18" s="2"/>
      <c r="AA18" s="2"/>
      <c r="AB18" s="2"/>
    </row>
    <row r="19" spans="1:28" ht="29.1" customHeight="1" x14ac:dyDescent="0.3">
      <c r="A19" s="12">
        <v>46056</v>
      </c>
      <c r="B19" s="12" t="s">
        <v>31</v>
      </c>
      <c r="C19" s="3" t="s">
        <v>55</v>
      </c>
      <c r="D19" s="3" t="s">
        <v>56</v>
      </c>
      <c r="E19" s="3" t="s">
        <v>5</v>
      </c>
      <c r="F19" s="3" t="s">
        <v>34</v>
      </c>
      <c r="G19" s="3" t="s">
        <v>31</v>
      </c>
      <c r="H19" s="3" t="s">
        <v>57</v>
      </c>
      <c r="I19" s="3" t="s">
        <v>58</v>
      </c>
      <c r="J19" s="3" t="s">
        <v>59</v>
      </c>
      <c r="K19" s="3" t="s">
        <v>21</v>
      </c>
      <c r="L19" s="3" t="s">
        <v>31</v>
      </c>
      <c r="M19" s="3">
        <v>2.5</v>
      </c>
      <c r="N19" s="3" t="s">
        <v>31</v>
      </c>
      <c r="O19" s="3" t="s">
        <v>31</v>
      </c>
      <c r="P19" s="3" t="s">
        <v>31</v>
      </c>
      <c r="Q19" s="2"/>
      <c r="R19" s="2"/>
      <c r="S19" s="2"/>
      <c r="T19" s="2"/>
      <c r="U19" s="2"/>
      <c r="V19" s="2"/>
      <c r="W19" s="2"/>
      <c r="X19" s="2"/>
      <c r="Y19" s="2"/>
      <c r="Z19" s="2"/>
      <c r="AA19" s="2"/>
      <c r="AB19" s="2"/>
    </row>
    <row r="20" spans="1:28" ht="29.1" customHeight="1" x14ac:dyDescent="0.3">
      <c r="A20" s="12">
        <v>46176</v>
      </c>
      <c r="B20" s="12" t="s">
        <v>31</v>
      </c>
      <c r="C20" s="3" t="s">
        <v>60</v>
      </c>
      <c r="D20" s="3" t="s">
        <v>16</v>
      </c>
      <c r="E20" s="3" t="s">
        <v>30</v>
      </c>
      <c r="F20" s="3" t="s">
        <v>34</v>
      </c>
      <c r="G20" s="3" t="s">
        <v>31</v>
      </c>
      <c r="H20" s="3" t="s">
        <v>35</v>
      </c>
      <c r="I20" s="3" t="s">
        <v>35</v>
      </c>
      <c r="J20" s="3" t="s">
        <v>31</v>
      </c>
      <c r="K20" s="3" t="s">
        <v>21</v>
      </c>
      <c r="L20" s="3" t="s">
        <v>31</v>
      </c>
      <c r="M20" s="3">
        <v>2</v>
      </c>
      <c r="N20" s="3" t="s">
        <v>31</v>
      </c>
      <c r="O20" s="3" t="s">
        <v>31</v>
      </c>
      <c r="P20" s="3" t="s">
        <v>31</v>
      </c>
      <c r="Q20" s="2"/>
      <c r="R20" s="2"/>
      <c r="S20" s="2"/>
      <c r="T20" s="2"/>
      <c r="U20" s="2"/>
      <c r="V20" s="2"/>
      <c r="W20" s="2"/>
      <c r="X20" s="2"/>
      <c r="Y20" s="2"/>
      <c r="Z20" s="2"/>
      <c r="AA20" s="2"/>
      <c r="AB20" s="2"/>
    </row>
    <row r="21" spans="1:28" ht="29.1" customHeight="1" x14ac:dyDescent="0.3">
      <c r="A21" s="12">
        <v>46056</v>
      </c>
      <c r="B21" s="12" t="s">
        <v>31</v>
      </c>
      <c r="C21" s="3" t="s">
        <v>61</v>
      </c>
      <c r="D21" s="3" t="s">
        <v>16</v>
      </c>
      <c r="E21" s="3" t="s">
        <v>5</v>
      </c>
      <c r="F21" s="3" t="s">
        <v>52</v>
      </c>
      <c r="G21" s="3" t="s">
        <v>31</v>
      </c>
      <c r="H21" s="3" t="s">
        <v>31</v>
      </c>
      <c r="I21" s="3" t="s">
        <v>31</v>
      </c>
      <c r="J21" s="3" t="s">
        <v>31</v>
      </c>
      <c r="K21" s="3" t="s">
        <v>21</v>
      </c>
      <c r="L21" s="3" t="s">
        <v>31</v>
      </c>
      <c r="M21" s="3" t="s">
        <v>31</v>
      </c>
      <c r="N21" s="3" t="s">
        <v>31</v>
      </c>
      <c r="O21" s="3" t="s">
        <v>31</v>
      </c>
      <c r="P21" s="3" t="s">
        <v>31</v>
      </c>
      <c r="Q21" s="2"/>
      <c r="R21" s="2"/>
      <c r="S21" s="2"/>
      <c r="T21" s="2"/>
      <c r="U21" s="2"/>
      <c r="V21" s="2"/>
      <c r="W21" s="2"/>
      <c r="X21" s="2"/>
      <c r="Y21" s="2"/>
      <c r="Z21" s="2"/>
      <c r="AA21" s="2"/>
      <c r="AB21" s="2"/>
    </row>
    <row r="22" spans="1:28" ht="29.1" customHeight="1" x14ac:dyDescent="0.3">
      <c r="A22" s="12">
        <v>46176</v>
      </c>
      <c r="B22" s="12" t="s">
        <v>31</v>
      </c>
      <c r="C22" s="3" t="s">
        <v>62</v>
      </c>
      <c r="D22" s="3" t="s">
        <v>50</v>
      </c>
      <c r="E22" s="3" t="s">
        <v>5</v>
      </c>
      <c r="F22" s="3" t="s">
        <v>52</v>
      </c>
      <c r="G22" s="3" t="s">
        <v>37</v>
      </c>
      <c r="H22" s="3" t="s">
        <v>31</v>
      </c>
      <c r="I22" s="3" t="s">
        <v>31</v>
      </c>
      <c r="J22" s="3" t="s">
        <v>31</v>
      </c>
      <c r="K22" s="3" t="s">
        <v>21</v>
      </c>
      <c r="L22" s="3" t="s">
        <v>31</v>
      </c>
      <c r="M22" s="3" t="s">
        <v>31</v>
      </c>
      <c r="N22" s="3" t="s">
        <v>31</v>
      </c>
      <c r="O22" s="3" t="s">
        <v>31</v>
      </c>
      <c r="P22" s="3" t="s">
        <v>31</v>
      </c>
      <c r="Q22" s="2"/>
      <c r="R22" s="2"/>
      <c r="S22" s="2"/>
      <c r="T22" s="2"/>
      <c r="U22" s="2"/>
      <c r="V22" s="2"/>
      <c r="W22" s="2"/>
      <c r="X22" s="2"/>
      <c r="Y22" s="2"/>
      <c r="Z22" s="2"/>
      <c r="AA22" s="2"/>
      <c r="AB22" s="2"/>
    </row>
    <row r="23" spans="1:28" ht="29.1" customHeight="1" x14ac:dyDescent="0.3">
      <c r="A23" s="12">
        <v>46145</v>
      </c>
      <c r="B23" s="12" t="s">
        <v>31</v>
      </c>
      <c r="C23" s="3" t="s">
        <v>63</v>
      </c>
      <c r="D23" s="3" t="s">
        <v>64</v>
      </c>
      <c r="E23" s="3" t="s">
        <v>5</v>
      </c>
      <c r="F23" s="3" t="s">
        <v>52</v>
      </c>
      <c r="G23" s="3" t="s">
        <v>37</v>
      </c>
      <c r="H23" s="3" t="s">
        <v>31</v>
      </c>
      <c r="I23" s="3" t="s">
        <v>31</v>
      </c>
      <c r="J23" s="3" t="s">
        <v>31</v>
      </c>
      <c r="K23" s="3" t="s">
        <v>21</v>
      </c>
      <c r="L23" s="3" t="s">
        <v>31</v>
      </c>
      <c r="M23" s="3" t="s">
        <v>31</v>
      </c>
      <c r="N23" s="3">
        <v>3</v>
      </c>
      <c r="O23" s="3" t="s">
        <v>31</v>
      </c>
      <c r="P23" s="3" t="s">
        <v>31</v>
      </c>
      <c r="Q23" s="2"/>
      <c r="R23" s="2"/>
      <c r="S23" s="2"/>
      <c r="T23" s="2"/>
      <c r="U23" s="2"/>
      <c r="V23" s="2"/>
      <c r="W23" s="2"/>
      <c r="X23" s="2"/>
      <c r="Y23" s="2"/>
      <c r="Z23" s="2"/>
      <c r="AA23" s="2"/>
      <c r="AB23" s="2"/>
    </row>
    <row r="24" spans="1:28" ht="29.1" customHeight="1" x14ac:dyDescent="0.3">
      <c r="A24" s="12">
        <v>46329</v>
      </c>
      <c r="B24" s="12" t="s">
        <v>31</v>
      </c>
      <c r="C24" s="3" t="s">
        <v>65</v>
      </c>
      <c r="D24" s="3" t="s">
        <v>66</v>
      </c>
      <c r="E24" s="3" t="s">
        <v>30</v>
      </c>
      <c r="F24" s="3" t="s">
        <v>52</v>
      </c>
      <c r="G24" s="3" t="s">
        <v>31</v>
      </c>
      <c r="H24" s="3" t="s">
        <v>31</v>
      </c>
      <c r="I24" s="3" t="s">
        <v>31</v>
      </c>
      <c r="J24" s="3" t="s">
        <v>31</v>
      </c>
      <c r="K24" s="3" t="s">
        <v>21</v>
      </c>
      <c r="L24" s="3" t="s">
        <v>31</v>
      </c>
      <c r="M24" s="3" t="s">
        <v>31</v>
      </c>
      <c r="N24" s="3" t="s">
        <v>31</v>
      </c>
      <c r="O24" s="3" t="s">
        <v>31</v>
      </c>
      <c r="P24" s="3" t="s">
        <v>31</v>
      </c>
      <c r="Q24" s="2"/>
      <c r="R24" s="2"/>
      <c r="S24" s="2"/>
      <c r="T24" s="2"/>
      <c r="U24" s="2"/>
      <c r="V24" s="2"/>
      <c r="W24" s="2"/>
      <c r="X24" s="2"/>
      <c r="Y24" s="2"/>
      <c r="Z24" s="2"/>
      <c r="AA24" s="2"/>
      <c r="AB24" s="2"/>
    </row>
    <row r="25" spans="1:28" ht="29.1" customHeight="1" x14ac:dyDescent="0.3">
      <c r="A25" s="12">
        <v>46359</v>
      </c>
      <c r="B25" s="12">
        <v>46112</v>
      </c>
      <c r="C25" s="3" t="s">
        <v>67</v>
      </c>
      <c r="D25" s="3" t="s">
        <v>68</v>
      </c>
      <c r="E25" s="3" t="s">
        <v>30</v>
      </c>
      <c r="F25" s="3" t="s">
        <v>43</v>
      </c>
      <c r="G25" s="3" t="s">
        <v>17</v>
      </c>
      <c r="H25" s="3" t="s">
        <v>31</v>
      </c>
      <c r="I25" s="3" t="s">
        <v>31</v>
      </c>
      <c r="J25" s="3" t="s">
        <v>31</v>
      </c>
      <c r="K25" s="3" t="s">
        <v>21</v>
      </c>
      <c r="L25" s="3" t="s">
        <v>21</v>
      </c>
      <c r="M25" s="3">
        <v>2</v>
      </c>
      <c r="N25" s="3">
        <v>1</v>
      </c>
      <c r="O25" s="3" t="s">
        <v>31</v>
      </c>
      <c r="P25" s="3" t="s">
        <v>31</v>
      </c>
      <c r="Q25" s="2"/>
      <c r="R25" s="2"/>
      <c r="S25" s="2"/>
      <c r="T25" s="2"/>
      <c r="U25" s="2"/>
      <c r="V25" s="2"/>
      <c r="W25" s="2"/>
      <c r="X25" s="2"/>
      <c r="Y25" s="2"/>
      <c r="Z25" s="2"/>
      <c r="AA25" s="2"/>
      <c r="AB25" s="2"/>
    </row>
    <row r="26" spans="1:28" ht="29.1" customHeight="1" x14ac:dyDescent="0.3">
      <c r="A26" s="12">
        <v>46096</v>
      </c>
      <c r="B26" s="12" t="s">
        <v>31</v>
      </c>
      <c r="C26" s="3" t="s">
        <v>69</v>
      </c>
      <c r="D26" s="3" t="s">
        <v>50</v>
      </c>
      <c r="E26" s="3" t="s">
        <v>5</v>
      </c>
      <c r="F26" s="3" t="s">
        <v>52</v>
      </c>
      <c r="G26" s="3" t="s">
        <v>17</v>
      </c>
      <c r="H26" s="3" t="s">
        <v>31</v>
      </c>
      <c r="I26" s="3" t="s">
        <v>31</v>
      </c>
      <c r="J26" s="3" t="s">
        <v>31</v>
      </c>
      <c r="K26" s="3" t="s">
        <v>21</v>
      </c>
      <c r="L26" s="3" t="s">
        <v>21</v>
      </c>
      <c r="M26" s="3" t="s">
        <v>31</v>
      </c>
      <c r="N26" s="3">
        <v>1</v>
      </c>
      <c r="O26" s="3" t="s">
        <v>31</v>
      </c>
      <c r="P26" s="3" t="s">
        <v>31</v>
      </c>
      <c r="Q26" s="2"/>
      <c r="R26" s="2"/>
      <c r="S26" s="2"/>
      <c r="T26" s="2"/>
      <c r="U26" s="2"/>
      <c r="V26" s="2"/>
      <c r="W26" s="2"/>
      <c r="X26" s="2"/>
      <c r="Y26" s="2"/>
      <c r="Z26" s="2"/>
      <c r="AA26" s="2"/>
      <c r="AB26" s="2"/>
    </row>
    <row r="27" spans="1:28" ht="29.1" customHeight="1" x14ac:dyDescent="0.3">
      <c r="A27" s="12">
        <v>46097</v>
      </c>
      <c r="B27" s="12" t="s">
        <v>31</v>
      </c>
      <c r="C27" s="3" t="s">
        <v>70</v>
      </c>
      <c r="D27" s="3" t="s">
        <v>50</v>
      </c>
      <c r="E27" s="3" t="s">
        <v>30</v>
      </c>
      <c r="F27" s="3" t="s">
        <v>52</v>
      </c>
      <c r="G27" s="3" t="s">
        <v>37</v>
      </c>
      <c r="H27" s="3" t="s">
        <v>31</v>
      </c>
      <c r="I27" s="3" t="s">
        <v>31</v>
      </c>
      <c r="J27" s="3" t="s">
        <v>31</v>
      </c>
      <c r="K27" s="3" t="s">
        <v>21</v>
      </c>
      <c r="L27" s="3" t="s">
        <v>31</v>
      </c>
      <c r="M27" s="3" t="s">
        <v>31</v>
      </c>
      <c r="N27" s="3" t="s">
        <v>31</v>
      </c>
      <c r="O27" s="3" t="s">
        <v>31</v>
      </c>
      <c r="P27" s="3" t="s">
        <v>31</v>
      </c>
      <c r="Q27" s="2"/>
      <c r="R27" s="2"/>
      <c r="S27" s="2"/>
      <c r="T27" s="2"/>
      <c r="U27" s="2"/>
      <c r="V27" s="2"/>
      <c r="W27" s="2"/>
      <c r="X27" s="2"/>
      <c r="Y27" s="2"/>
      <c r="Z27" s="2"/>
      <c r="AA27" s="2"/>
      <c r="AB27" s="2"/>
    </row>
    <row r="28" spans="1:28" ht="29.1" customHeight="1" x14ac:dyDescent="0.3">
      <c r="A28" s="12">
        <v>46099</v>
      </c>
      <c r="B28" s="12" t="s">
        <v>31</v>
      </c>
      <c r="C28" s="3" t="s">
        <v>71</v>
      </c>
      <c r="D28" s="3" t="s">
        <v>56</v>
      </c>
      <c r="E28" s="3" t="s">
        <v>5</v>
      </c>
      <c r="F28" s="3" t="s">
        <v>34</v>
      </c>
      <c r="G28" s="3" t="s">
        <v>37</v>
      </c>
      <c r="H28" s="3" t="s">
        <v>72</v>
      </c>
      <c r="I28" s="3" t="s">
        <v>73</v>
      </c>
      <c r="J28" s="3" t="s">
        <v>74</v>
      </c>
      <c r="K28" s="3" t="s">
        <v>21</v>
      </c>
      <c r="L28" s="3" t="s">
        <v>31</v>
      </c>
      <c r="M28" s="3">
        <v>3</v>
      </c>
      <c r="N28" s="3" t="s">
        <v>31</v>
      </c>
      <c r="O28" s="3" t="s">
        <v>31</v>
      </c>
      <c r="P28" s="3" t="s">
        <v>31</v>
      </c>
      <c r="Q28" s="2"/>
      <c r="R28" s="2"/>
      <c r="S28" s="2"/>
      <c r="T28" s="2"/>
      <c r="U28" s="2"/>
      <c r="V28" s="2"/>
      <c r="W28" s="2"/>
      <c r="X28" s="2"/>
      <c r="Y28" s="2"/>
      <c r="Z28" s="2"/>
      <c r="AA28" s="2"/>
      <c r="AB28" s="2"/>
    </row>
    <row r="29" spans="1:28" ht="29.1" customHeight="1" x14ac:dyDescent="0.3">
      <c r="A29" s="12">
        <v>46101</v>
      </c>
      <c r="B29" s="12" t="s">
        <v>31</v>
      </c>
      <c r="C29" s="3" t="s">
        <v>75</v>
      </c>
      <c r="D29" s="3" t="s">
        <v>76</v>
      </c>
      <c r="E29" s="3" t="s">
        <v>30</v>
      </c>
      <c r="F29" s="3" t="s">
        <v>52</v>
      </c>
      <c r="G29" s="3" t="s">
        <v>37</v>
      </c>
      <c r="H29" s="3" t="s">
        <v>31</v>
      </c>
      <c r="I29" s="3" t="s">
        <v>31</v>
      </c>
      <c r="J29" s="3" t="s">
        <v>31</v>
      </c>
      <c r="K29" s="3" t="s">
        <v>21</v>
      </c>
      <c r="L29" s="3" t="s">
        <v>31</v>
      </c>
      <c r="M29" s="3" t="s">
        <v>31</v>
      </c>
      <c r="N29" s="3" t="s">
        <v>31</v>
      </c>
      <c r="O29" s="3" t="s">
        <v>31</v>
      </c>
      <c r="P29" s="3" t="s">
        <v>31</v>
      </c>
      <c r="Q29" s="2"/>
      <c r="R29" s="2"/>
      <c r="S29" s="2"/>
      <c r="T29" s="2"/>
      <c r="U29" s="2"/>
      <c r="V29" s="2"/>
      <c r="W29" s="2"/>
      <c r="X29" s="2"/>
      <c r="Y29" s="2"/>
      <c r="Z29" s="2"/>
      <c r="AA29" s="2"/>
      <c r="AB29" s="2"/>
    </row>
    <row r="30" spans="1:28" ht="29.1" customHeight="1" x14ac:dyDescent="0.3">
      <c r="A30" s="12">
        <v>46105</v>
      </c>
      <c r="B30" s="12">
        <v>46119</v>
      </c>
      <c r="C30" s="3" t="s">
        <v>77</v>
      </c>
      <c r="D30" s="3" t="s">
        <v>68</v>
      </c>
      <c r="E30" s="3" t="s">
        <v>30</v>
      </c>
      <c r="F30" s="3" t="s">
        <v>43</v>
      </c>
      <c r="G30" s="3" t="s">
        <v>37</v>
      </c>
      <c r="H30" s="3" t="s">
        <v>31</v>
      </c>
      <c r="I30" s="3" t="s">
        <v>31</v>
      </c>
      <c r="J30" s="3" t="s">
        <v>31</v>
      </c>
      <c r="K30" s="3" t="s">
        <v>21</v>
      </c>
      <c r="L30" s="3" t="s">
        <v>31</v>
      </c>
      <c r="M30" s="3">
        <v>4</v>
      </c>
      <c r="N30" s="3">
        <v>2</v>
      </c>
      <c r="O30" s="3" t="s">
        <v>78</v>
      </c>
      <c r="P30" s="3" t="s">
        <v>31</v>
      </c>
      <c r="Q30" s="2"/>
      <c r="R30" s="2"/>
      <c r="S30" s="2"/>
      <c r="T30" s="2"/>
      <c r="U30" s="2"/>
      <c r="V30" s="2"/>
      <c r="W30" s="2"/>
      <c r="X30" s="2"/>
      <c r="Y30" s="2"/>
      <c r="Z30" s="2"/>
      <c r="AA30" s="2"/>
      <c r="AB30" s="2"/>
    </row>
    <row r="31" spans="1:28" ht="29.1" customHeight="1" x14ac:dyDescent="0.3">
      <c r="A31" s="12">
        <v>46108</v>
      </c>
      <c r="B31" s="12">
        <v>46119</v>
      </c>
      <c r="C31" s="7" t="s">
        <v>79</v>
      </c>
      <c r="D31" s="3" t="s">
        <v>66</v>
      </c>
      <c r="E31" s="3" t="s">
        <v>30</v>
      </c>
      <c r="F31" s="3" t="s">
        <v>34</v>
      </c>
      <c r="G31" s="3" t="s">
        <v>17</v>
      </c>
      <c r="H31" s="3" t="str">
        <f t="shared" ref="H31:H67" si="0">IF(E31="Screen Share", "NA", "")</f>
        <v>NA</v>
      </c>
      <c r="I31" s="9" t="s">
        <v>35</v>
      </c>
      <c r="J31" s="3" t="str">
        <f t="shared" ref="J31:J68" si="1">IF(E31="Screen Share", "NA", "")</f>
        <v>NA</v>
      </c>
      <c r="K31" s="3" t="s">
        <v>21</v>
      </c>
      <c r="L31" s="3" t="s">
        <v>21</v>
      </c>
      <c r="M31" s="3">
        <v>1</v>
      </c>
      <c r="N31" s="3">
        <v>2</v>
      </c>
      <c r="O31" s="3"/>
      <c r="P31" s="3"/>
      <c r="Q31" s="2"/>
      <c r="R31" s="2"/>
      <c r="S31" s="2"/>
      <c r="T31" s="2"/>
      <c r="U31" s="2"/>
      <c r="V31" s="2"/>
      <c r="W31" s="2"/>
      <c r="X31" s="2"/>
      <c r="Y31" s="2"/>
      <c r="Z31" s="2"/>
      <c r="AA31" s="2"/>
      <c r="AB31" s="2"/>
    </row>
    <row r="32" spans="1:28" ht="29.1" customHeight="1" x14ac:dyDescent="0.3">
      <c r="A32" s="12">
        <v>46119</v>
      </c>
      <c r="B32" s="14"/>
      <c r="C32" s="3" t="s">
        <v>80</v>
      </c>
      <c r="D32" s="3" t="s">
        <v>81</v>
      </c>
      <c r="E32" s="3" t="s">
        <v>5</v>
      </c>
      <c r="F32" s="3" t="s">
        <v>34</v>
      </c>
      <c r="G32" s="3" t="s">
        <v>37</v>
      </c>
      <c r="H32" s="3" t="s">
        <v>82</v>
      </c>
      <c r="I32" s="9"/>
      <c r="J32" s="3"/>
      <c r="K32" s="3" t="s">
        <v>21</v>
      </c>
      <c r="L32" s="3"/>
      <c r="M32" s="3">
        <v>2.5</v>
      </c>
      <c r="N32" s="3"/>
      <c r="O32" s="3"/>
      <c r="P32" s="3"/>
      <c r="Q32" s="2"/>
      <c r="R32" s="2"/>
      <c r="S32" s="2"/>
      <c r="T32" s="2"/>
      <c r="U32" s="2"/>
      <c r="V32" s="2"/>
      <c r="W32" s="2"/>
      <c r="X32" s="2"/>
      <c r="Y32" s="2"/>
      <c r="Z32" s="2"/>
      <c r="AA32" s="2"/>
      <c r="AB32" s="2"/>
    </row>
    <row r="33" spans="1:28" ht="29.1" customHeight="1" x14ac:dyDescent="0.3">
      <c r="A33" s="12">
        <v>46126</v>
      </c>
      <c r="B33" s="13"/>
      <c r="C33" s="10" t="s">
        <v>83</v>
      </c>
      <c r="D33" s="3" t="s">
        <v>64</v>
      </c>
      <c r="E33" s="3" t="s">
        <v>5</v>
      </c>
      <c r="F33" s="3" t="s">
        <v>34</v>
      </c>
      <c r="G33" s="3"/>
      <c r="H33" s="3" t="s">
        <v>84</v>
      </c>
      <c r="I33" s="3" t="s">
        <v>85</v>
      </c>
      <c r="J33" s="3" t="s">
        <v>86</v>
      </c>
      <c r="K33" s="3" t="s">
        <v>21</v>
      </c>
      <c r="L33" s="3"/>
      <c r="M33" s="3">
        <v>3</v>
      </c>
      <c r="N33" s="3">
        <v>1</v>
      </c>
      <c r="O33" s="3" t="s">
        <v>87</v>
      </c>
      <c r="P33" s="11">
        <v>5402322925</v>
      </c>
      <c r="Q33" s="2"/>
      <c r="R33" s="2"/>
      <c r="S33" s="2"/>
      <c r="T33" s="2"/>
      <c r="U33" s="2"/>
      <c r="V33" s="2"/>
      <c r="W33" s="2"/>
      <c r="X33" s="2"/>
      <c r="Y33" s="2"/>
      <c r="Z33" s="2"/>
      <c r="AA33" s="2"/>
      <c r="AB33" s="2"/>
    </row>
    <row r="34" spans="1:28" ht="29.1" customHeight="1" x14ac:dyDescent="0.3">
      <c r="A34" s="12">
        <v>46125</v>
      </c>
      <c r="B34" s="12"/>
      <c r="C34" s="3" t="s">
        <v>88</v>
      </c>
      <c r="D34" s="3" t="s">
        <v>16</v>
      </c>
      <c r="E34" s="3" t="s">
        <v>5</v>
      </c>
      <c r="F34" s="3" t="s">
        <v>52</v>
      </c>
      <c r="G34" s="3" t="s">
        <v>37</v>
      </c>
      <c r="H34" s="3"/>
      <c r="I34" s="3"/>
      <c r="J34" s="3"/>
      <c r="K34" s="3" t="s">
        <v>21</v>
      </c>
      <c r="L34" s="3"/>
      <c r="M34" s="3"/>
      <c r="N34" s="3"/>
      <c r="O34" s="3"/>
      <c r="P34" s="3"/>
      <c r="Q34" s="2"/>
      <c r="R34" s="2"/>
      <c r="S34" s="2"/>
      <c r="T34" s="2"/>
      <c r="U34" s="2"/>
      <c r="V34" s="2"/>
      <c r="W34" s="2"/>
      <c r="X34" s="2"/>
      <c r="Y34" s="2"/>
      <c r="Z34" s="2"/>
      <c r="AA34" s="2"/>
      <c r="AB34" s="2"/>
    </row>
    <row r="35" spans="1:28" ht="29.1" customHeight="1" x14ac:dyDescent="0.3">
      <c r="A35" s="12">
        <v>46125</v>
      </c>
      <c r="B35" s="12">
        <v>46132</v>
      </c>
      <c r="C35" s="3" t="s">
        <v>89</v>
      </c>
      <c r="D35" s="3" t="s">
        <v>56</v>
      </c>
      <c r="E35" s="3" t="s">
        <v>5</v>
      </c>
      <c r="F35" s="3" t="s">
        <v>34</v>
      </c>
      <c r="G35" s="3" t="s">
        <v>17</v>
      </c>
      <c r="H35" s="8" t="s">
        <v>90</v>
      </c>
      <c r="I35" s="3" t="s">
        <v>91</v>
      </c>
      <c r="J35" s="3" t="s">
        <v>92</v>
      </c>
      <c r="K35" s="3" t="s">
        <v>21</v>
      </c>
      <c r="L35" s="3" t="s">
        <v>21</v>
      </c>
      <c r="M35" s="3">
        <v>2.5</v>
      </c>
      <c r="N35" s="3">
        <v>1</v>
      </c>
      <c r="O35" s="3" t="s">
        <v>93</v>
      </c>
      <c r="P35" s="3"/>
      <c r="Q35" s="2"/>
      <c r="R35" s="2"/>
      <c r="S35" s="2"/>
      <c r="T35" s="2"/>
      <c r="U35" s="2"/>
      <c r="V35" s="2"/>
      <c r="W35" s="2"/>
      <c r="X35" s="2"/>
      <c r="Y35" s="2"/>
      <c r="Z35" s="2"/>
      <c r="AA35" s="2"/>
      <c r="AB35" s="2"/>
    </row>
    <row r="36" spans="1:28" ht="29.1" customHeight="1" x14ac:dyDescent="0.3">
      <c r="A36" s="12">
        <v>46126</v>
      </c>
      <c r="B36" s="12"/>
      <c r="C36" s="3" t="s">
        <v>94</v>
      </c>
      <c r="D36" s="3" t="s">
        <v>66</v>
      </c>
      <c r="E36" s="3" t="s">
        <v>30</v>
      </c>
      <c r="F36" s="3" t="s">
        <v>52</v>
      </c>
      <c r="G36" s="3" t="s">
        <v>37</v>
      </c>
      <c r="H36" s="8"/>
      <c r="I36" s="3"/>
      <c r="J36" s="3"/>
      <c r="K36" s="3"/>
      <c r="L36" s="3"/>
      <c r="M36" s="3"/>
      <c r="N36" s="3"/>
      <c r="O36" s="3"/>
      <c r="P36" s="3"/>
      <c r="Q36" s="2"/>
      <c r="R36" s="2"/>
      <c r="S36" s="2"/>
      <c r="T36" s="2"/>
      <c r="U36" s="2"/>
      <c r="V36" s="2"/>
      <c r="W36" s="2"/>
      <c r="X36" s="2"/>
      <c r="Y36" s="2"/>
      <c r="Z36" s="2"/>
      <c r="AA36" s="2"/>
      <c r="AB36" s="2"/>
    </row>
    <row r="37" spans="1:28" ht="29.1" customHeight="1" x14ac:dyDescent="0.3">
      <c r="A37" s="12">
        <v>46119</v>
      </c>
      <c r="B37" s="12">
        <v>46134</v>
      </c>
      <c r="C37" s="3" t="s">
        <v>95</v>
      </c>
      <c r="D37" s="3" t="s">
        <v>50</v>
      </c>
      <c r="E37" s="3" t="s">
        <v>5</v>
      </c>
      <c r="F37" s="3" t="s">
        <v>43</v>
      </c>
      <c r="G37" s="3" t="s">
        <v>17</v>
      </c>
      <c r="H37" s="8" t="s">
        <v>96</v>
      </c>
      <c r="I37" s="8" t="s">
        <v>97</v>
      </c>
      <c r="J37" s="3" t="s">
        <v>98</v>
      </c>
      <c r="K37" s="3" t="s">
        <v>21</v>
      </c>
      <c r="L37" s="3"/>
      <c r="M37" s="15">
        <v>15</v>
      </c>
      <c r="N37" s="15">
        <v>1</v>
      </c>
      <c r="O37" s="3" t="s">
        <v>99</v>
      </c>
      <c r="P37" s="3">
        <v>5402228222</v>
      </c>
      <c r="Q37" s="2"/>
      <c r="R37" s="2"/>
      <c r="S37" s="2"/>
      <c r="T37" s="2"/>
      <c r="U37" s="2"/>
      <c r="V37" s="2"/>
      <c r="W37" s="2"/>
      <c r="X37" s="2"/>
      <c r="Y37" s="2"/>
      <c r="Z37" s="2"/>
      <c r="AA37" s="2"/>
      <c r="AB37" s="2"/>
    </row>
    <row r="38" spans="1:28" ht="29.1" customHeight="1" x14ac:dyDescent="0.3">
      <c r="A38" s="12"/>
      <c r="B38" s="12"/>
      <c r="C38" s="3" t="s">
        <v>100</v>
      </c>
      <c r="D38" s="3" t="s">
        <v>76</v>
      </c>
      <c r="E38" s="3" t="s">
        <v>30</v>
      </c>
      <c r="F38" s="3" t="s">
        <v>37</v>
      </c>
      <c r="G38" s="3" t="s">
        <v>37</v>
      </c>
      <c r="H38" s="3"/>
      <c r="I38" s="3"/>
      <c r="J38" s="3"/>
      <c r="K38" s="3"/>
      <c r="L38" s="3"/>
      <c r="M38" s="3">
        <v>6</v>
      </c>
      <c r="N38" s="3">
        <v>2</v>
      </c>
      <c r="O38" s="3"/>
      <c r="P38" s="16"/>
      <c r="Q38" s="2"/>
      <c r="R38" s="2"/>
      <c r="S38" s="2"/>
      <c r="T38" s="2"/>
      <c r="U38" s="2"/>
      <c r="V38" s="2"/>
      <c r="W38" s="2"/>
      <c r="X38" s="2"/>
      <c r="Y38" s="2"/>
      <c r="Z38" s="2"/>
      <c r="AA38" s="2"/>
      <c r="AB38" s="2"/>
    </row>
    <row r="39" spans="1:28" ht="29.1" customHeight="1" x14ac:dyDescent="0.3">
      <c r="A39" s="12">
        <v>46135</v>
      </c>
      <c r="B39" s="12"/>
      <c r="C39" s="3" t="s">
        <v>101</v>
      </c>
      <c r="D39" s="3" t="s">
        <v>76</v>
      </c>
      <c r="E39" s="3" t="s">
        <v>5</v>
      </c>
      <c r="F39" s="3" t="s">
        <v>34</v>
      </c>
      <c r="G39" s="3" t="s">
        <v>37</v>
      </c>
      <c r="H39" s="15" t="s">
        <v>102</v>
      </c>
      <c r="I39" s="15" t="s">
        <v>103</v>
      </c>
      <c r="J39" s="15" t="s">
        <v>104</v>
      </c>
      <c r="K39" s="3" t="s">
        <v>21</v>
      </c>
      <c r="L39" s="3"/>
      <c r="M39" s="3">
        <v>2.5</v>
      </c>
      <c r="N39" s="3"/>
      <c r="O39" s="3" t="s">
        <v>105</v>
      </c>
      <c r="P39">
        <v>5402495733</v>
      </c>
      <c r="Q39" s="2"/>
      <c r="R39" s="2"/>
      <c r="S39" s="2"/>
      <c r="T39" s="2"/>
      <c r="U39" s="2"/>
      <c r="V39" s="2"/>
      <c r="W39" s="2"/>
      <c r="X39" s="2"/>
      <c r="Y39" s="2"/>
      <c r="Z39" s="2"/>
      <c r="AA39" s="2"/>
      <c r="AB39" s="2"/>
    </row>
    <row r="40" spans="1:28" ht="29.1" customHeight="1" x14ac:dyDescent="0.3">
      <c r="A40" s="12">
        <v>46132</v>
      </c>
      <c r="B40" s="12" t="s">
        <v>35</v>
      </c>
      <c r="C40" s="3" t="s">
        <v>106</v>
      </c>
      <c r="D40" s="3" t="s">
        <v>107</v>
      </c>
      <c r="E40" s="3" t="s">
        <v>5</v>
      </c>
      <c r="F40" s="3" t="s">
        <v>43</v>
      </c>
      <c r="G40" s="3" t="s">
        <v>37</v>
      </c>
      <c r="H40" s="3" t="str">
        <f t="shared" si="0"/>
        <v/>
      </c>
      <c r="I40" s="3" t="str">
        <f t="shared" ref="I40:I68" si="2">IF(E40="Screen Share", "NA", "")</f>
        <v/>
      </c>
      <c r="J40" s="3" t="str">
        <f t="shared" si="1"/>
        <v/>
      </c>
      <c r="K40" s="3" t="s">
        <v>21</v>
      </c>
      <c r="L40" s="3"/>
      <c r="M40" s="3">
        <v>2</v>
      </c>
      <c r="N40" s="3">
        <v>1</v>
      </c>
      <c r="O40" s="3"/>
      <c r="P40" s="3"/>
      <c r="Q40" s="2"/>
      <c r="R40" s="2"/>
      <c r="S40" s="2"/>
      <c r="T40" s="2"/>
      <c r="U40" s="2"/>
      <c r="V40" s="2"/>
      <c r="W40" s="2"/>
      <c r="X40" s="2"/>
      <c r="Y40" s="2"/>
      <c r="Z40" s="2"/>
      <c r="AA40" s="2"/>
      <c r="AB40" s="2"/>
    </row>
    <row r="41" spans="1:28" ht="29.1" customHeight="1" x14ac:dyDescent="0.3">
      <c r="A41" s="12">
        <v>46136</v>
      </c>
      <c r="B41" s="12"/>
      <c r="C41" s="3" t="s">
        <v>108</v>
      </c>
      <c r="D41" s="3" t="s">
        <v>64</v>
      </c>
      <c r="E41" s="3" t="s">
        <v>30</v>
      </c>
      <c r="F41" s="3"/>
      <c r="G41" s="3" t="s">
        <v>37</v>
      </c>
      <c r="H41" s="3" t="str">
        <f t="shared" si="0"/>
        <v>NA</v>
      </c>
      <c r="I41" s="3" t="str">
        <f t="shared" si="2"/>
        <v>NA</v>
      </c>
      <c r="J41" s="3" t="str">
        <f t="shared" si="1"/>
        <v>NA</v>
      </c>
      <c r="K41" s="3" t="s">
        <v>21</v>
      </c>
      <c r="L41" s="3"/>
      <c r="M41" s="3">
        <v>2</v>
      </c>
      <c r="N41" s="3"/>
      <c r="O41" s="3"/>
      <c r="P41" s="3"/>
      <c r="Q41" s="2"/>
      <c r="R41" s="2"/>
      <c r="S41" s="2"/>
      <c r="T41" s="2"/>
      <c r="U41" s="2"/>
      <c r="V41" s="2"/>
      <c r="W41" s="2"/>
      <c r="X41" s="2"/>
      <c r="Y41" s="2"/>
      <c r="Z41" s="2"/>
      <c r="AA41" s="2"/>
      <c r="AB41" s="2"/>
    </row>
    <row r="42" spans="1:28" ht="29.1" customHeight="1" x14ac:dyDescent="0.3">
      <c r="A42" s="12">
        <v>46141</v>
      </c>
      <c r="B42" s="12"/>
      <c r="C42" s="3" t="s">
        <v>109</v>
      </c>
      <c r="D42" s="3" t="s">
        <v>16</v>
      </c>
      <c r="E42" s="3" t="s">
        <v>30</v>
      </c>
      <c r="F42" s="3" t="s">
        <v>52</v>
      </c>
      <c r="G42" s="3"/>
      <c r="H42" s="3" t="str">
        <f t="shared" si="0"/>
        <v>NA</v>
      </c>
      <c r="I42" s="3" t="str">
        <f t="shared" si="2"/>
        <v>NA</v>
      </c>
      <c r="J42" s="3" t="str">
        <f t="shared" si="1"/>
        <v>NA</v>
      </c>
      <c r="K42" s="3" t="s">
        <v>21</v>
      </c>
      <c r="L42" s="3"/>
      <c r="M42" s="3"/>
      <c r="N42" s="3"/>
      <c r="O42" s="3" t="s">
        <v>110</v>
      </c>
      <c r="P42" s="3"/>
      <c r="Q42" s="2"/>
      <c r="R42" s="2"/>
      <c r="S42" s="2"/>
      <c r="T42" s="2"/>
      <c r="U42" s="2"/>
      <c r="V42" s="2"/>
      <c r="W42" s="2"/>
      <c r="X42" s="2"/>
      <c r="Y42" s="2"/>
      <c r="Z42" s="2"/>
      <c r="AA42" s="2"/>
      <c r="AB42" s="2"/>
    </row>
    <row r="43" spans="1:28" ht="29.1" customHeight="1" x14ac:dyDescent="0.3">
      <c r="A43" s="12">
        <v>46148</v>
      </c>
      <c r="B43" s="12"/>
      <c r="C43" s="3" t="s">
        <v>111</v>
      </c>
      <c r="D43" s="3" t="s">
        <v>112</v>
      </c>
      <c r="E43" s="3" t="s">
        <v>5</v>
      </c>
      <c r="F43" s="3" t="s">
        <v>43</v>
      </c>
      <c r="G43" s="3"/>
      <c r="H43" s="3" t="s">
        <v>113</v>
      </c>
      <c r="I43" s="3" t="s">
        <v>114</v>
      </c>
      <c r="J43" s="3" t="str">
        <f t="shared" si="1"/>
        <v/>
      </c>
      <c r="K43" s="3" t="s">
        <v>21</v>
      </c>
      <c r="L43" s="3"/>
      <c r="M43" s="3">
        <v>1</v>
      </c>
      <c r="N43" s="3">
        <v>1.5</v>
      </c>
      <c r="O43" s="3"/>
      <c r="P43" s="3"/>
      <c r="Q43" s="2"/>
      <c r="R43" s="2"/>
      <c r="S43" s="2"/>
      <c r="T43" s="2"/>
      <c r="U43" s="2"/>
      <c r="V43" s="2"/>
      <c r="W43" s="2"/>
      <c r="X43" s="2"/>
      <c r="Y43" s="2"/>
      <c r="Z43" s="2"/>
      <c r="AA43" s="2"/>
      <c r="AB43" s="2"/>
    </row>
    <row r="44" spans="1:28" ht="29.1" customHeight="1" x14ac:dyDescent="0.3">
      <c r="A44" s="13">
        <v>46154</v>
      </c>
      <c r="B44" s="13"/>
      <c r="C44" s="1" t="s">
        <v>115</v>
      </c>
      <c r="D44" s="1" t="s">
        <v>112</v>
      </c>
      <c r="E44" s="3" t="s">
        <v>30</v>
      </c>
      <c r="F44" s="1" t="s">
        <v>52</v>
      </c>
      <c r="G44" s="1"/>
      <c r="H44" s="1" t="str">
        <f t="shared" si="0"/>
        <v>NA</v>
      </c>
      <c r="I44" s="1" t="str">
        <f t="shared" si="2"/>
        <v>NA</v>
      </c>
      <c r="J44" s="1" t="str">
        <f t="shared" si="1"/>
        <v>NA</v>
      </c>
      <c r="K44" s="3" t="s">
        <v>21</v>
      </c>
      <c r="L44" s="3"/>
      <c r="M44" s="1"/>
      <c r="N44" s="1"/>
      <c r="O44" s="1" t="s">
        <v>116</v>
      </c>
      <c r="P44" s="1"/>
    </row>
    <row r="45" spans="1:28" ht="29.1" customHeight="1" x14ac:dyDescent="0.3">
      <c r="A45" s="13">
        <v>46156</v>
      </c>
      <c r="B45" s="13"/>
      <c r="C45" t="s">
        <v>117</v>
      </c>
      <c r="D45" s="1" t="s">
        <v>68</v>
      </c>
      <c r="E45" s="3" t="s">
        <v>30</v>
      </c>
      <c r="F45" s="1" t="s">
        <v>52</v>
      </c>
      <c r="G45" s="1"/>
      <c r="H45" s="1" t="str">
        <f t="shared" si="0"/>
        <v>NA</v>
      </c>
      <c r="I45" s="1" t="str">
        <f t="shared" si="2"/>
        <v>NA</v>
      </c>
      <c r="J45" s="1" t="str">
        <f t="shared" si="1"/>
        <v>NA</v>
      </c>
      <c r="K45" s="3" t="s">
        <v>21</v>
      </c>
      <c r="L45" s="3"/>
      <c r="M45" s="1"/>
      <c r="N45" s="1"/>
      <c r="O45" s="1" t="s">
        <v>118</v>
      </c>
      <c r="P45" s="1"/>
    </row>
    <row r="46" spans="1:28" ht="172.8" x14ac:dyDescent="0.3">
      <c r="A46" s="13">
        <v>46157</v>
      </c>
      <c r="B46" s="13"/>
      <c r="C46" s="1" t="s">
        <v>119</v>
      </c>
      <c r="D46" s="1" t="s">
        <v>68</v>
      </c>
      <c r="E46" s="3" t="s">
        <v>5</v>
      </c>
      <c r="F46" s="1" t="s">
        <v>52</v>
      </c>
      <c r="G46" s="1"/>
      <c r="H46" s="1" t="s">
        <v>120</v>
      </c>
      <c r="I46" s="1" t="s">
        <v>121</v>
      </c>
      <c r="J46" s="1" t="str">
        <f t="shared" si="1"/>
        <v/>
      </c>
      <c r="K46" s="3" t="s">
        <v>21</v>
      </c>
      <c r="L46" s="3"/>
      <c r="M46" s="1"/>
      <c r="N46" s="1"/>
      <c r="O46" s="1" t="s">
        <v>122</v>
      </c>
      <c r="P46" s="1"/>
    </row>
    <row r="47" spans="1:28" ht="29.1" customHeight="1" x14ac:dyDescent="0.3">
      <c r="A47" s="13">
        <v>46156</v>
      </c>
      <c r="B47" s="13"/>
      <c r="C47" s="1" t="s">
        <v>123</v>
      </c>
      <c r="D47" s="1" t="s">
        <v>64</v>
      </c>
      <c r="E47" s="3" t="s">
        <v>30</v>
      </c>
      <c r="F47" s="1" t="s">
        <v>43</v>
      </c>
      <c r="G47" s="1" t="s">
        <v>37</v>
      </c>
      <c r="H47" s="1" t="str">
        <f t="shared" si="0"/>
        <v>NA</v>
      </c>
      <c r="I47" s="1" t="str">
        <f t="shared" si="2"/>
        <v>NA</v>
      </c>
      <c r="J47" s="1" t="str">
        <f t="shared" si="1"/>
        <v>NA</v>
      </c>
      <c r="K47" s="3" t="s">
        <v>21</v>
      </c>
      <c r="L47" s="3"/>
      <c r="M47" s="1">
        <v>1.5</v>
      </c>
      <c r="N47" s="1">
        <v>1.5</v>
      </c>
      <c r="O47" s="1"/>
      <c r="P47" s="1"/>
    </row>
    <row r="48" spans="1:28" ht="109.2" x14ac:dyDescent="0.3">
      <c r="A48" s="13">
        <v>46157</v>
      </c>
      <c r="B48" s="13"/>
      <c r="C48" s="1" t="s">
        <v>124</v>
      </c>
      <c r="D48" s="1" t="s">
        <v>125</v>
      </c>
      <c r="E48" s="3" t="s">
        <v>5</v>
      </c>
      <c r="F48" s="1" t="s">
        <v>52</v>
      </c>
      <c r="G48" s="1"/>
      <c r="H48" s="45" t="s">
        <v>126</v>
      </c>
      <c r="I48" s="45" t="s">
        <v>127</v>
      </c>
      <c r="J48" s="47" t="str">
        <f t="shared" si="1"/>
        <v/>
      </c>
      <c r="K48" s="3" t="s">
        <v>21</v>
      </c>
      <c r="L48" s="3"/>
      <c r="M48" s="1"/>
      <c r="N48" s="1"/>
      <c r="O48" s="1" t="s">
        <v>128</v>
      </c>
      <c r="P48" s="1"/>
    </row>
    <row r="49" spans="1:16" ht="29.1" customHeight="1" x14ac:dyDescent="0.3">
      <c r="A49" s="46">
        <v>46161</v>
      </c>
      <c r="B49" s="46"/>
      <c r="C49" s="47" t="s">
        <v>129</v>
      </c>
      <c r="D49" s="47" t="s">
        <v>16</v>
      </c>
      <c r="E49" s="48" t="s">
        <v>5</v>
      </c>
      <c r="F49" s="47" t="s">
        <v>34</v>
      </c>
      <c r="G49" s="47" t="s">
        <v>37</v>
      </c>
      <c r="H49" s="47" t="s">
        <v>130</v>
      </c>
      <c r="I49" s="47" t="s">
        <v>131</v>
      </c>
      <c r="J49" s="47" t="s">
        <v>132</v>
      </c>
      <c r="K49" s="48" t="s">
        <v>21</v>
      </c>
      <c r="L49" s="48"/>
      <c r="M49" s="47">
        <v>1</v>
      </c>
      <c r="N49" s="47"/>
      <c r="O49" s="47" t="s">
        <v>133</v>
      </c>
      <c r="P49" s="1"/>
    </row>
    <row r="50" spans="1:16" ht="29.1" customHeight="1" x14ac:dyDescent="0.3">
      <c r="A50" s="49">
        <v>46161</v>
      </c>
      <c r="B50" s="13"/>
      <c r="C50" s="1" t="s">
        <v>134</v>
      </c>
      <c r="D50" s="1" t="s">
        <v>125</v>
      </c>
      <c r="E50" s="3" t="s">
        <v>5</v>
      </c>
      <c r="F50" s="1" t="s">
        <v>43</v>
      </c>
      <c r="G50" s="1"/>
      <c r="H50" s="45" t="s">
        <v>126</v>
      </c>
      <c r="I50" s="45" t="s">
        <v>127</v>
      </c>
      <c r="J50" s="1" t="str">
        <f t="shared" si="1"/>
        <v/>
      </c>
      <c r="K50" s="3" t="s">
        <v>21</v>
      </c>
      <c r="L50" s="3"/>
      <c r="M50" s="1">
        <v>1</v>
      </c>
      <c r="N50" s="1">
        <v>1.5</v>
      </c>
      <c r="O50" s="1" t="s">
        <v>128</v>
      </c>
      <c r="P50" s="1"/>
    </row>
    <row r="51" spans="1:16" ht="29.1" customHeight="1" x14ac:dyDescent="0.4">
      <c r="A51" s="13">
        <v>46162</v>
      </c>
      <c r="B51" s="13"/>
      <c r="C51" s="50" t="s">
        <v>135</v>
      </c>
      <c r="D51" s="1" t="s">
        <v>64</v>
      </c>
      <c r="E51" s="3" t="s">
        <v>30</v>
      </c>
      <c r="F51" s="1" t="s">
        <v>43</v>
      </c>
      <c r="G51" s="1" t="s">
        <v>37</v>
      </c>
      <c r="H51" s="1" t="str">
        <f t="shared" si="0"/>
        <v>NA</v>
      </c>
      <c r="I51" s="1" t="str">
        <f t="shared" si="2"/>
        <v>NA</v>
      </c>
      <c r="J51" s="1" t="str">
        <f t="shared" si="1"/>
        <v>NA</v>
      </c>
      <c r="K51" s="3" t="s">
        <v>21</v>
      </c>
      <c r="L51" s="3"/>
      <c r="M51" s="1">
        <v>1</v>
      </c>
      <c r="N51" s="1">
        <v>1</v>
      </c>
      <c r="O51" s="1"/>
      <c r="P51" s="1"/>
    </row>
    <row r="52" spans="1:16" ht="29.1" customHeight="1" x14ac:dyDescent="0.4">
      <c r="A52" s="13">
        <v>45803</v>
      </c>
      <c r="B52" s="13"/>
      <c r="C52" s="55" t="s">
        <v>136</v>
      </c>
      <c r="D52" s="1" t="s">
        <v>56</v>
      </c>
      <c r="E52" s="3" t="s">
        <v>5</v>
      </c>
      <c r="F52" s="1" t="s">
        <v>52</v>
      </c>
      <c r="G52" s="1"/>
      <c r="H52" s="16" t="s">
        <v>137</v>
      </c>
      <c r="I52" s="54" t="s">
        <v>138</v>
      </c>
      <c r="J52" s="54" t="s">
        <v>139</v>
      </c>
      <c r="K52" s="3" t="s">
        <v>21</v>
      </c>
      <c r="L52" s="3"/>
      <c r="M52" s="1">
        <v>2</v>
      </c>
      <c r="N52" s="1">
        <v>1</v>
      </c>
      <c r="O52" s="16" t="s">
        <v>140</v>
      </c>
      <c r="P52" s="1"/>
    </row>
    <row r="53" spans="1:16" ht="29.1" customHeight="1" x14ac:dyDescent="0.3">
      <c r="A53" s="13">
        <v>46162</v>
      </c>
      <c r="B53" s="13"/>
      <c r="C53" s="1" t="s">
        <v>141</v>
      </c>
      <c r="D53" s="1" t="s">
        <v>125</v>
      </c>
      <c r="E53" s="3" t="s">
        <v>5</v>
      </c>
      <c r="F53" s="1" t="s">
        <v>43</v>
      </c>
      <c r="G53" s="1"/>
      <c r="H53" t="s">
        <v>142</v>
      </c>
      <c r="I53" t="s">
        <v>143</v>
      </c>
      <c r="J53" t="s">
        <v>144</v>
      </c>
      <c r="K53" s="3" t="s">
        <v>21</v>
      </c>
      <c r="L53" s="3"/>
      <c r="M53" s="1">
        <v>1</v>
      </c>
      <c r="N53" s="1">
        <v>1</v>
      </c>
      <c r="P53" s="1"/>
    </row>
    <row r="54" spans="1:16" ht="29.1" customHeight="1" x14ac:dyDescent="0.3">
      <c r="A54" s="13">
        <v>46169</v>
      </c>
      <c r="B54" s="13"/>
      <c r="C54" s="1" t="s">
        <v>145</v>
      </c>
      <c r="D54" s="1" t="s">
        <v>68</v>
      </c>
      <c r="E54" s="3" t="s">
        <v>5</v>
      </c>
      <c r="F54" s="1" t="s">
        <v>34</v>
      </c>
      <c r="G54" s="1" t="s">
        <v>37</v>
      </c>
      <c r="H54" s="1" t="s">
        <v>146</v>
      </c>
      <c r="I54" s="51" t="s">
        <v>147</v>
      </c>
      <c r="J54" t="s">
        <v>148</v>
      </c>
      <c r="K54" s="3" t="s">
        <v>21</v>
      </c>
      <c r="L54" s="3"/>
      <c r="M54" s="1">
        <v>1.5</v>
      </c>
      <c r="N54" s="1"/>
      <c r="O54" t="s">
        <v>116</v>
      </c>
      <c r="P54" s="1"/>
    </row>
    <row r="55" spans="1:16" ht="29.1" customHeight="1" x14ac:dyDescent="0.3">
      <c r="A55" s="13">
        <v>46170</v>
      </c>
      <c r="B55" s="13"/>
      <c r="C55" s="1" t="s">
        <v>149</v>
      </c>
      <c r="D55" s="1" t="s">
        <v>66</v>
      </c>
      <c r="E55" s="3" t="s">
        <v>5</v>
      </c>
      <c r="F55" s="1" t="s">
        <v>34</v>
      </c>
      <c r="G55" s="1"/>
      <c r="H55" s="53" t="s">
        <v>150</v>
      </c>
      <c r="I55" s="52" t="s">
        <v>151</v>
      </c>
      <c r="J55" s="52" t="s">
        <v>152</v>
      </c>
      <c r="K55" s="3" t="s">
        <v>21</v>
      </c>
      <c r="L55" s="3"/>
      <c r="M55" s="1">
        <v>1</v>
      </c>
      <c r="N55" s="1"/>
      <c r="O55" t="s">
        <v>153</v>
      </c>
      <c r="P55" s="1"/>
    </row>
    <row r="56" spans="1:16" ht="29.1" customHeight="1" x14ac:dyDescent="0.3">
      <c r="A56" s="13">
        <v>46171</v>
      </c>
      <c r="B56" s="13"/>
      <c r="C56" s="1" t="s">
        <v>47</v>
      </c>
      <c r="D56" s="1" t="s">
        <v>76</v>
      </c>
      <c r="E56" s="3" t="s">
        <v>30</v>
      </c>
      <c r="F56" s="1" t="s">
        <v>37</v>
      </c>
      <c r="G56" s="1" t="s">
        <v>37</v>
      </c>
      <c r="H56" s="1" t="str">
        <f t="shared" si="0"/>
        <v>NA</v>
      </c>
      <c r="I56" s="1" t="str">
        <f t="shared" si="2"/>
        <v>NA</v>
      </c>
      <c r="J56" s="1" t="str">
        <f t="shared" si="1"/>
        <v>NA</v>
      </c>
      <c r="K56" s="3" t="s">
        <v>21</v>
      </c>
      <c r="L56" s="3"/>
      <c r="M56" s="1"/>
      <c r="N56" s="1"/>
      <c r="O56" s="1"/>
      <c r="P56" s="1"/>
    </row>
    <row r="57" spans="1:16" ht="29.1" customHeight="1" x14ac:dyDescent="0.3">
      <c r="A57" s="13">
        <v>46176</v>
      </c>
      <c r="B57" s="13"/>
      <c r="C57" s="1" t="s">
        <v>154</v>
      </c>
      <c r="D57" s="1" t="s">
        <v>76</v>
      </c>
      <c r="E57" s="3" t="s">
        <v>30</v>
      </c>
      <c r="F57" s="1" t="s">
        <v>34</v>
      </c>
      <c r="G57" s="1"/>
      <c r="H57" s="1" t="str">
        <f t="shared" si="0"/>
        <v>NA</v>
      </c>
      <c r="I57" s="1" t="str">
        <f t="shared" si="2"/>
        <v>NA</v>
      </c>
      <c r="J57" s="1" t="str">
        <f t="shared" si="1"/>
        <v>NA</v>
      </c>
      <c r="K57" s="3" t="s">
        <v>21</v>
      </c>
      <c r="L57" s="3"/>
      <c r="M57" s="1">
        <v>1</v>
      </c>
      <c r="N57" s="1"/>
      <c r="O57" s="1" t="s">
        <v>155</v>
      </c>
      <c r="P57" s="1"/>
    </row>
    <row r="58" spans="1:16" ht="29.1" customHeight="1" x14ac:dyDescent="0.4">
      <c r="A58" s="13">
        <v>46178</v>
      </c>
      <c r="B58" s="13"/>
      <c r="C58" s="1" t="s">
        <v>156</v>
      </c>
      <c r="D58" s="1" t="s">
        <v>157</v>
      </c>
      <c r="E58" s="3" t="s">
        <v>5</v>
      </c>
      <c r="F58" s="1" t="s">
        <v>43</v>
      </c>
      <c r="G58" s="1"/>
      <c r="H58" s="1" t="s">
        <v>146</v>
      </c>
      <c r="I58" s="56" t="s">
        <v>158</v>
      </c>
      <c r="J58" t="s">
        <v>159</v>
      </c>
      <c r="K58" s="3" t="s">
        <v>21</v>
      </c>
      <c r="L58" s="3"/>
      <c r="M58" s="1">
        <v>1</v>
      </c>
      <c r="N58" s="1">
        <v>1.5</v>
      </c>
      <c r="O58" s="1"/>
      <c r="P58" s="1"/>
    </row>
    <row r="59" spans="1:16" ht="29.1" customHeight="1" x14ac:dyDescent="0.3">
      <c r="A59" s="13">
        <v>46184</v>
      </c>
      <c r="B59" s="13"/>
      <c r="C59" s="1" t="s">
        <v>160</v>
      </c>
      <c r="D59" s="1" t="s">
        <v>64</v>
      </c>
      <c r="E59" s="3" t="s">
        <v>30</v>
      </c>
      <c r="F59" s="1" t="s">
        <v>43</v>
      </c>
      <c r="G59" s="1"/>
      <c r="H59" s="1" t="str">
        <f t="shared" si="0"/>
        <v>NA</v>
      </c>
      <c r="J59" s="1" t="str">
        <f t="shared" si="1"/>
        <v>NA</v>
      </c>
      <c r="K59" s="3" t="s">
        <v>21</v>
      </c>
      <c r="L59" s="3"/>
      <c r="M59" s="1">
        <v>2</v>
      </c>
      <c r="N59" s="1">
        <v>1.5</v>
      </c>
      <c r="O59" s="1" t="s">
        <v>161</v>
      </c>
      <c r="P59" s="1"/>
    </row>
    <row r="60" spans="1:16" ht="29.1" customHeight="1" x14ac:dyDescent="0.3">
      <c r="A60" s="13">
        <v>46183</v>
      </c>
      <c r="B60" s="13"/>
      <c r="C60" s="1" t="s">
        <v>162</v>
      </c>
      <c r="D60" s="1" t="s">
        <v>64</v>
      </c>
      <c r="E60" s="3" t="s">
        <v>30</v>
      </c>
      <c r="F60" s="1" t="s">
        <v>52</v>
      </c>
      <c r="G60" s="1"/>
      <c r="H60" s="1" t="str">
        <f t="shared" si="0"/>
        <v>NA</v>
      </c>
      <c r="I60" s="1" t="str">
        <f t="shared" si="2"/>
        <v>NA</v>
      </c>
      <c r="J60" s="1" t="str">
        <f t="shared" si="1"/>
        <v>NA</v>
      </c>
      <c r="K60" s="3"/>
      <c r="L60" s="3"/>
      <c r="M60" s="1"/>
      <c r="N60" s="1"/>
      <c r="O60" s="1" t="s">
        <v>163</v>
      </c>
      <c r="P60" s="1">
        <v>5403307045</v>
      </c>
    </row>
    <row r="61" spans="1:16" ht="29.1" customHeight="1" x14ac:dyDescent="0.3">
      <c r="A61" s="13">
        <v>46184</v>
      </c>
      <c r="B61" s="13"/>
      <c r="C61" s="1" t="s">
        <v>164</v>
      </c>
      <c r="D61" s="1" t="s">
        <v>76</v>
      </c>
      <c r="E61" s="3" t="s">
        <v>30</v>
      </c>
      <c r="F61" s="1" t="s">
        <v>34</v>
      </c>
      <c r="G61" s="1"/>
      <c r="H61" s="1" t="str">
        <f t="shared" si="0"/>
        <v>NA</v>
      </c>
      <c r="I61" s="1" t="str">
        <f t="shared" si="2"/>
        <v>NA</v>
      </c>
      <c r="J61" s="1" t="str">
        <f t="shared" si="1"/>
        <v>NA</v>
      </c>
      <c r="K61" s="3" t="s">
        <v>21</v>
      </c>
      <c r="L61" s="3"/>
      <c r="M61" s="1">
        <v>2</v>
      </c>
      <c r="N61" s="1"/>
      <c r="O61" s="1" t="s">
        <v>165</v>
      </c>
      <c r="P61" s="51">
        <v>5403343037</v>
      </c>
    </row>
    <row r="62" spans="1:16" ht="102" customHeight="1" x14ac:dyDescent="0.3">
      <c r="A62" s="13">
        <v>46188</v>
      </c>
      <c r="B62" s="13"/>
      <c r="C62" s="1" t="s">
        <v>166</v>
      </c>
      <c r="D62" s="1" t="s">
        <v>76</v>
      </c>
      <c r="E62" s="3" t="s">
        <v>5</v>
      </c>
      <c r="F62" s="1" t="s">
        <v>43</v>
      </c>
      <c r="G62" s="1"/>
      <c r="H62" s="1" t="s">
        <v>167</v>
      </c>
      <c r="I62" s="1" t="s">
        <v>168</v>
      </c>
      <c r="J62" s="1" t="s">
        <v>169</v>
      </c>
      <c r="K62" s="3" t="s">
        <v>21</v>
      </c>
      <c r="L62" s="3"/>
      <c r="M62" s="1">
        <v>5</v>
      </c>
      <c r="N62" s="1">
        <v>1</v>
      </c>
      <c r="O62" s="1" t="s">
        <v>170</v>
      </c>
      <c r="P62" s="1">
        <v>5403377920</v>
      </c>
    </row>
    <row r="63" spans="1:16" ht="29.1" customHeight="1" x14ac:dyDescent="0.3">
      <c r="A63" s="13">
        <v>46188</v>
      </c>
      <c r="B63" s="13"/>
      <c r="C63" s="1" t="s">
        <v>171</v>
      </c>
      <c r="D63" s="1" t="s">
        <v>66</v>
      </c>
      <c r="E63" s="3" t="s">
        <v>5</v>
      </c>
      <c r="F63" s="1" t="s">
        <v>34</v>
      </c>
      <c r="G63" s="1"/>
      <c r="H63" s="1" t="str">
        <f>IF(E63="Screen Share", "NA", "")</f>
        <v/>
      </c>
      <c r="I63" s="1" t="str">
        <f t="shared" si="2"/>
        <v/>
      </c>
      <c r="J63" s="1" t="str">
        <f t="shared" si="1"/>
        <v/>
      </c>
      <c r="K63" s="3" t="s">
        <v>21</v>
      </c>
      <c r="L63" s="3"/>
      <c r="M63" s="1">
        <v>1</v>
      </c>
      <c r="N63" s="1"/>
      <c r="O63" s="1" t="s">
        <v>35</v>
      </c>
      <c r="P63" s="1" t="s">
        <v>35</v>
      </c>
    </row>
    <row r="64" spans="1:16" ht="29.1" customHeight="1" x14ac:dyDescent="0.3">
      <c r="A64" s="13">
        <v>46189</v>
      </c>
      <c r="B64" s="13"/>
      <c r="C64" s="1" t="s">
        <v>172</v>
      </c>
      <c r="D64" s="1" t="s">
        <v>112</v>
      </c>
      <c r="E64" s="3" t="s">
        <v>30</v>
      </c>
      <c r="F64" s="1" t="s">
        <v>43</v>
      </c>
      <c r="G64" s="1"/>
      <c r="H64" s="1" t="str">
        <f t="shared" si="0"/>
        <v>NA</v>
      </c>
      <c r="I64" s="1" t="str">
        <f t="shared" si="2"/>
        <v>NA</v>
      </c>
      <c r="J64" s="1" t="str">
        <f t="shared" si="1"/>
        <v>NA</v>
      </c>
      <c r="K64" s="3" t="s">
        <v>21</v>
      </c>
      <c r="L64" s="3"/>
      <c r="M64" s="1">
        <v>1.5</v>
      </c>
      <c r="N64" s="1">
        <v>1</v>
      </c>
      <c r="O64" s="1" t="s">
        <v>173</v>
      </c>
      <c r="P64" s="1"/>
    </row>
    <row r="65" spans="1:16" ht="29.1" customHeight="1" x14ac:dyDescent="0.3">
      <c r="A65" s="13">
        <v>46190</v>
      </c>
      <c r="B65" s="13"/>
      <c r="C65" s="1" t="s">
        <v>174</v>
      </c>
      <c r="D65" s="1" t="s">
        <v>76</v>
      </c>
      <c r="E65" s="3" t="s">
        <v>30</v>
      </c>
      <c r="F65" s="1" t="s">
        <v>34</v>
      </c>
      <c r="G65" s="1"/>
      <c r="H65" s="1" t="str">
        <f t="shared" si="0"/>
        <v>NA</v>
      </c>
      <c r="I65" s="1" t="str">
        <f t="shared" si="2"/>
        <v>NA</v>
      </c>
      <c r="J65" s="1" t="str">
        <f t="shared" si="1"/>
        <v>NA</v>
      </c>
      <c r="K65" s="3" t="s">
        <v>21</v>
      </c>
      <c r="L65" s="3"/>
      <c r="M65" s="1">
        <v>1.5</v>
      </c>
      <c r="N65" s="1"/>
      <c r="O65" s="1" t="s">
        <v>175</v>
      </c>
      <c r="P65" s="1" t="s">
        <v>35</v>
      </c>
    </row>
    <row r="66" spans="1:16" ht="29.1" customHeight="1" x14ac:dyDescent="0.3">
      <c r="A66" s="13">
        <v>46193</v>
      </c>
      <c r="B66" s="13">
        <v>46209</v>
      </c>
      <c r="C66" s="1" t="s">
        <v>176</v>
      </c>
      <c r="D66" s="1" t="s">
        <v>56</v>
      </c>
      <c r="E66" s="3" t="s">
        <v>5</v>
      </c>
      <c r="F66" s="1" t="s">
        <v>52</v>
      </c>
      <c r="G66" s="1" t="s">
        <v>17</v>
      </c>
      <c r="H66" s="1" t="s">
        <v>177</v>
      </c>
      <c r="I66" s="1"/>
      <c r="J66" s="1"/>
      <c r="K66" s="3"/>
      <c r="L66" s="3"/>
      <c r="M66" s="1"/>
      <c r="N66" s="1">
        <v>1</v>
      </c>
      <c r="O66" s="1" t="s">
        <v>178</v>
      </c>
      <c r="P66" s="1"/>
    </row>
    <row r="67" spans="1:16" ht="29.1" customHeight="1" x14ac:dyDescent="0.3">
      <c r="A67" s="13">
        <v>46195</v>
      </c>
      <c r="B67" s="13"/>
      <c r="C67" s="1" t="s">
        <v>179</v>
      </c>
      <c r="D67" s="1" t="s">
        <v>76</v>
      </c>
      <c r="E67" s="3" t="s">
        <v>30</v>
      </c>
      <c r="F67" s="1" t="s">
        <v>34</v>
      </c>
      <c r="G67" s="1"/>
      <c r="H67" s="1" t="str">
        <f t="shared" si="0"/>
        <v>NA</v>
      </c>
      <c r="I67" s="1" t="str">
        <f>IF(E67="Screen Share", "NA", "")</f>
        <v>NA</v>
      </c>
      <c r="J67" s="1" t="str">
        <f t="shared" si="1"/>
        <v>NA</v>
      </c>
      <c r="K67" s="3" t="s">
        <v>21</v>
      </c>
      <c r="L67" s="3"/>
      <c r="M67" s="1">
        <v>1</v>
      </c>
      <c r="N67" s="1"/>
      <c r="O67" s="1" t="s">
        <v>35</v>
      </c>
      <c r="P67" s="1" t="s">
        <v>35</v>
      </c>
    </row>
    <row r="68" spans="1:16" ht="29.1" customHeight="1" x14ac:dyDescent="0.3">
      <c r="A68" s="13">
        <v>46196</v>
      </c>
      <c r="B68" s="13"/>
      <c r="C68" s="1" t="s">
        <v>180</v>
      </c>
      <c r="D68" s="1" t="s">
        <v>16</v>
      </c>
      <c r="E68" s="3" t="s">
        <v>5</v>
      </c>
      <c r="F68" s="1" t="s">
        <v>34</v>
      </c>
      <c r="G68" s="1"/>
      <c r="H68" s="1" t="s">
        <v>181</v>
      </c>
      <c r="I68" s="1" t="str">
        <f t="shared" si="2"/>
        <v/>
      </c>
      <c r="J68" s="1" t="str">
        <f t="shared" si="1"/>
        <v/>
      </c>
      <c r="K68" s="3" t="s">
        <v>21</v>
      </c>
      <c r="L68" s="3"/>
      <c r="M68" s="1">
        <v>1</v>
      </c>
      <c r="N68" s="1"/>
      <c r="O68" s="1" t="s">
        <v>182</v>
      </c>
      <c r="P68" s="1"/>
    </row>
    <row r="69" spans="1:16" ht="29.1" customHeight="1" x14ac:dyDescent="0.3">
      <c r="A69" s="13">
        <v>46196</v>
      </c>
      <c r="B69" s="13">
        <v>46216</v>
      </c>
      <c r="C69" s="1" t="s">
        <v>183</v>
      </c>
      <c r="D69" s="1" t="s">
        <v>66</v>
      </c>
      <c r="E69" s="3" t="s">
        <v>5</v>
      </c>
      <c r="F69" s="1" t="s">
        <v>52</v>
      </c>
      <c r="G69" s="1" t="s">
        <v>17</v>
      </c>
      <c r="I69" s="1" t="str">
        <f>IF(E70="Screen Share", "NA", "")</f>
        <v/>
      </c>
      <c r="J69" s="1" t="str">
        <f>IF(E70="Screen Share", "NA", "")</f>
        <v/>
      </c>
      <c r="K69" s="3" t="s">
        <v>21</v>
      </c>
      <c r="L69" s="3"/>
      <c r="M69" s="1">
        <v>1.5</v>
      </c>
      <c r="N69" s="1">
        <v>1</v>
      </c>
      <c r="O69" s="1" t="s">
        <v>35</v>
      </c>
      <c r="P69" s="1" t="s">
        <v>35</v>
      </c>
    </row>
    <row r="70" spans="1:16" ht="29.1" customHeight="1" x14ac:dyDescent="0.3">
      <c r="A70" s="13">
        <v>46197</v>
      </c>
      <c r="B70" s="13">
        <v>46197</v>
      </c>
      <c r="C70" s="1" t="s">
        <v>184</v>
      </c>
      <c r="D70" s="1" t="s">
        <v>64</v>
      </c>
      <c r="E70" s="3" t="s">
        <v>5</v>
      </c>
      <c r="F70" s="1" t="s">
        <v>34</v>
      </c>
      <c r="G70" s="1" t="s">
        <v>17</v>
      </c>
      <c r="H70" s="1" t="s">
        <v>185</v>
      </c>
      <c r="I70" s="1" t="str">
        <f>IF(E71="Screen Share", "NA", "")</f>
        <v/>
      </c>
      <c r="J70" s="1" t="str">
        <f>IF(E71="Screen Share", "NA", "")</f>
        <v/>
      </c>
      <c r="K70" s="3" t="s">
        <v>21</v>
      </c>
      <c r="L70" s="3" t="s">
        <v>21</v>
      </c>
      <c r="M70" s="1">
        <v>1</v>
      </c>
      <c r="N70" s="1"/>
      <c r="O70" s="1" t="s">
        <v>35</v>
      </c>
      <c r="P70" s="1" t="s">
        <v>35</v>
      </c>
    </row>
    <row r="71" spans="1:16" ht="29.1" customHeight="1" x14ac:dyDescent="0.3">
      <c r="A71" s="13">
        <v>46197</v>
      </c>
      <c r="B71" s="13"/>
      <c r="C71" s="1" t="s">
        <v>186</v>
      </c>
      <c r="D71" s="1" t="s">
        <v>16</v>
      </c>
      <c r="E71" s="3" t="s">
        <v>5</v>
      </c>
      <c r="F71" s="1" t="s">
        <v>34</v>
      </c>
      <c r="G71" s="1"/>
      <c r="H71" s="1" t="s">
        <v>187</v>
      </c>
      <c r="I71" s="1" t="str">
        <f>IF(E66="Screen Share", "NA", "")</f>
        <v/>
      </c>
      <c r="J71" s="1" t="str">
        <f>IF(E66="Screen Share", "NA", "")</f>
        <v/>
      </c>
      <c r="K71" s="3"/>
      <c r="L71" s="3"/>
      <c r="M71" s="1"/>
      <c r="N71" s="1"/>
      <c r="O71" s="1"/>
      <c r="P71" s="1"/>
    </row>
    <row r="72" spans="1:16" ht="29.1" customHeight="1" x14ac:dyDescent="0.3">
      <c r="A72" s="13">
        <v>46199</v>
      </c>
      <c r="B72" s="13"/>
      <c r="C72" s="1" t="s">
        <v>188</v>
      </c>
      <c r="D72" s="1" t="s">
        <v>16</v>
      </c>
      <c r="E72" s="3" t="s">
        <v>5</v>
      </c>
      <c r="F72" s="1" t="s">
        <v>34</v>
      </c>
      <c r="G72" s="1"/>
      <c r="H72" s="1" t="s">
        <v>187</v>
      </c>
      <c r="I72" s="1" t="str">
        <f t="shared" ref="I72:I102" si="3">IF(E72="Screen Share", "NA", "")</f>
        <v/>
      </c>
      <c r="J72" s="1" t="str">
        <f t="shared" ref="J72:J102" si="4">IF(E72="Screen Share", "NA", "")</f>
        <v/>
      </c>
      <c r="K72" s="3"/>
      <c r="L72" s="3"/>
      <c r="M72" s="1"/>
      <c r="N72" s="1"/>
      <c r="O72" s="1"/>
      <c r="P72" s="1"/>
    </row>
    <row r="73" spans="1:16" ht="29.1" customHeight="1" x14ac:dyDescent="0.3">
      <c r="A73" s="13">
        <v>46199</v>
      </c>
      <c r="B73" s="13"/>
      <c r="C73" s="1" t="s">
        <v>189</v>
      </c>
      <c r="D73" s="1" t="s">
        <v>112</v>
      </c>
      <c r="E73" s="3" t="s">
        <v>30</v>
      </c>
      <c r="F73" s="1" t="s">
        <v>52</v>
      </c>
      <c r="G73" s="1"/>
      <c r="H73" s="1" t="s">
        <v>190</v>
      </c>
      <c r="I73" s="1" t="str">
        <f t="shared" si="3"/>
        <v>NA</v>
      </c>
      <c r="J73" s="1" t="str">
        <f t="shared" si="4"/>
        <v>NA</v>
      </c>
      <c r="K73" s="3" t="s">
        <v>21</v>
      </c>
      <c r="L73" s="3"/>
      <c r="M73" s="1"/>
      <c r="N73" s="1"/>
      <c r="O73" s="1"/>
      <c r="P73" s="1"/>
    </row>
    <row r="74" spans="1:16" ht="29.1" customHeight="1" x14ac:dyDescent="0.3">
      <c r="A74" s="13">
        <v>46203</v>
      </c>
      <c r="B74" s="13"/>
      <c r="C74" s="1" t="s">
        <v>191</v>
      </c>
      <c r="D74" s="1" t="s">
        <v>16</v>
      </c>
      <c r="E74" s="3" t="s">
        <v>5</v>
      </c>
      <c r="F74" s="1" t="s">
        <v>34</v>
      </c>
      <c r="G74" s="1"/>
      <c r="H74" s="1" t="str">
        <f t="shared" ref="H74:H102" si="5">IF(E74="Screen Share", "NA", "")</f>
        <v/>
      </c>
      <c r="I74" s="1"/>
      <c r="J74" s="1"/>
      <c r="K74" s="3" t="s">
        <v>21</v>
      </c>
      <c r="L74" s="3"/>
      <c r="M74" s="1">
        <v>1</v>
      </c>
      <c r="N74" s="1"/>
      <c r="O74" s="1" t="s">
        <v>35</v>
      </c>
      <c r="P74" s="1" t="s">
        <v>35</v>
      </c>
    </row>
    <row r="75" spans="1:16" ht="29.1" customHeight="1" x14ac:dyDescent="0.3">
      <c r="A75" s="13">
        <v>46210</v>
      </c>
      <c r="B75" s="13"/>
      <c r="C75" s="1" t="s">
        <v>192</v>
      </c>
      <c r="D75" s="1" t="s">
        <v>16</v>
      </c>
      <c r="E75" s="3" t="s">
        <v>5</v>
      </c>
      <c r="F75" s="1" t="s">
        <v>34</v>
      </c>
      <c r="G75" s="1"/>
      <c r="H75" s="1" t="str">
        <f t="shared" si="5"/>
        <v/>
      </c>
      <c r="I75" s="1" t="str">
        <f t="shared" si="3"/>
        <v/>
      </c>
      <c r="J75" s="1" t="str">
        <f t="shared" si="4"/>
        <v/>
      </c>
      <c r="K75" s="3" t="s">
        <v>21</v>
      </c>
      <c r="L75" s="3"/>
      <c r="M75" s="1">
        <v>2</v>
      </c>
      <c r="N75" s="1"/>
      <c r="O75" s="1"/>
      <c r="P75" s="1"/>
    </row>
    <row r="76" spans="1:16" ht="29.1" customHeight="1" x14ac:dyDescent="0.3">
      <c r="A76" s="13">
        <v>46210</v>
      </c>
      <c r="B76" s="13"/>
      <c r="C76" s="1" t="s">
        <v>193</v>
      </c>
      <c r="D76" s="1" t="s">
        <v>66</v>
      </c>
      <c r="E76" s="3" t="s">
        <v>5</v>
      </c>
      <c r="F76" s="1" t="s">
        <v>34</v>
      </c>
      <c r="G76" s="1"/>
      <c r="H76" s="1" t="s">
        <v>194</v>
      </c>
      <c r="I76" s="1" t="str">
        <f t="shared" si="3"/>
        <v/>
      </c>
      <c r="J76" s="1" t="str">
        <f t="shared" si="4"/>
        <v/>
      </c>
      <c r="K76" s="3" t="s">
        <v>21</v>
      </c>
      <c r="L76" s="3"/>
      <c r="M76" s="1">
        <v>1</v>
      </c>
      <c r="N76" s="1"/>
      <c r="O76" s="1" t="s">
        <v>195</v>
      </c>
      <c r="P76" s="1"/>
    </row>
    <row r="77" spans="1:16" ht="29.1" customHeight="1" x14ac:dyDescent="0.3">
      <c r="A77" s="13">
        <v>46210</v>
      </c>
      <c r="B77" s="13">
        <v>46214</v>
      </c>
      <c r="C77" s="1" t="s">
        <v>196</v>
      </c>
      <c r="D77" s="1" t="s">
        <v>112</v>
      </c>
      <c r="E77" s="3" t="s">
        <v>30</v>
      </c>
      <c r="F77" s="1" t="s">
        <v>34</v>
      </c>
      <c r="G77" s="1" t="s">
        <v>17</v>
      </c>
      <c r="H77" s="1" t="str">
        <f t="shared" si="5"/>
        <v>NA</v>
      </c>
      <c r="I77" s="1" t="str">
        <f t="shared" si="3"/>
        <v>NA</v>
      </c>
      <c r="J77" s="1" t="str">
        <f t="shared" si="4"/>
        <v>NA</v>
      </c>
      <c r="K77" s="3" t="s">
        <v>21</v>
      </c>
      <c r="L77" s="3"/>
      <c r="M77" s="1">
        <v>1</v>
      </c>
      <c r="N77" s="1"/>
      <c r="O77" s="1" t="s">
        <v>197</v>
      </c>
      <c r="P77" s="1"/>
    </row>
    <row r="78" spans="1:16" ht="29.1" customHeight="1" x14ac:dyDescent="0.3">
      <c r="A78" s="13"/>
      <c r="B78" s="13"/>
      <c r="C78" s="1"/>
      <c r="D78" s="1"/>
      <c r="E78" s="3"/>
      <c r="F78" s="1"/>
      <c r="G78" s="1"/>
      <c r="H78" s="1" t="str">
        <f t="shared" si="5"/>
        <v/>
      </c>
      <c r="I78" s="1" t="str">
        <f t="shared" si="3"/>
        <v/>
      </c>
      <c r="J78" s="1" t="str">
        <f t="shared" si="4"/>
        <v/>
      </c>
      <c r="K78" s="3"/>
      <c r="L78" s="3"/>
      <c r="M78" s="1"/>
      <c r="N78" s="1"/>
      <c r="O78" s="1"/>
      <c r="P78" s="1"/>
    </row>
    <row r="79" spans="1:16" ht="29.1" customHeight="1" x14ac:dyDescent="0.3">
      <c r="A79" s="13"/>
      <c r="B79" s="13"/>
      <c r="C79" s="1"/>
      <c r="D79" s="1"/>
      <c r="E79" s="3"/>
      <c r="F79" s="1"/>
      <c r="G79" s="1"/>
      <c r="H79" s="1" t="str">
        <f t="shared" si="5"/>
        <v/>
      </c>
      <c r="I79" s="1" t="str">
        <f t="shared" si="3"/>
        <v/>
      </c>
      <c r="J79" s="1" t="str">
        <f t="shared" si="4"/>
        <v/>
      </c>
      <c r="K79" s="3"/>
      <c r="L79" s="3"/>
      <c r="M79" s="1"/>
      <c r="N79" s="1"/>
      <c r="O79" s="1"/>
      <c r="P79" s="1"/>
    </row>
    <row r="80" spans="1:16" ht="29.1" customHeight="1" x14ac:dyDescent="0.3">
      <c r="A80" s="13"/>
      <c r="B80" s="13"/>
      <c r="C80" s="1"/>
      <c r="D80" s="1"/>
      <c r="E80" s="3"/>
      <c r="F80" s="1"/>
      <c r="G80" s="1"/>
      <c r="H80" s="1" t="str">
        <f t="shared" si="5"/>
        <v/>
      </c>
      <c r="I80" s="1" t="str">
        <f t="shared" si="3"/>
        <v/>
      </c>
      <c r="J80" s="1" t="str">
        <f t="shared" si="4"/>
        <v/>
      </c>
      <c r="K80" s="3"/>
      <c r="L80" s="3"/>
      <c r="M80" s="1"/>
      <c r="N80" s="1"/>
      <c r="O80" s="1"/>
      <c r="P80" s="1"/>
    </row>
    <row r="81" spans="1:16" ht="29.1" customHeight="1" x14ac:dyDescent="0.3">
      <c r="A81" s="13"/>
      <c r="B81" s="13"/>
      <c r="C81" s="1"/>
      <c r="D81" s="1"/>
      <c r="E81" s="3"/>
      <c r="F81" s="1"/>
      <c r="G81" s="1"/>
      <c r="H81" s="1" t="str">
        <f t="shared" si="5"/>
        <v/>
      </c>
      <c r="I81" s="1" t="str">
        <f t="shared" si="3"/>
        <v/>
      </c>
      <c r="J81" s="1" t="str">
        <f t="shared" si="4"/>
        <v/>
      </c>
      <c r="K81" s="3"/>
      <c r="L81" s="3"/>
      <c r="M81" s="1"/>
      <c r="N81" s="1"/>
      <c r="O81" s="1"/>
      <c r="P81" s="1"/>
    </row>
    <row r="82" spans="1:16" ht="29.1" customHeight="1" x14ac:dyDescent="0.3">
      <c r="A82" s="13"/>
      <c r="B82" s="13"/>
      <c r="C82" s="1"/>
      <c r="D82" s="1"/>
      <c r="E82" s="3"/>
      <c r="F82" s="1"/>
      <c r="G82" s="1"/>
      <c r="H82" s="1" t="str">
        <f t="shared" si="5"/>
        <v/>
      </c>
      <c r="I82" s="1" t="str">
        <f t="shared" si="3"/>
        <v/>
      </c>
      <c r="J82" s="1" t="str">
        <f t="shared" si="4"/>
        <v/>
      </c>
      <c r="K82" s="3"/>
      <c r="L82" s="3"/>
      <c r="M82" s="1"/>
      <c r="N82" s="1"/>
      <c r="O82" s="1"/>
      <c r="P82" s="1"/>
    </row>
    <row r="83" spans="1:16" ht="29.1" customHeight="1" x14ac:dyDescent="0.3">
      <c r="A83" s="13"/>
      <c r="B83" s="13"/>
      <c r="C83" s="1"/>
      <c r="D83" s="1"/>
      <c r="E83" s="3"/>
      <c r="F83" s="1"/>
      <c r="G83" s="1"/>
      <c r="H83" s="1" t="str">
        <f t="shared" si="5"/>
        <v/>
      </c>
      <c r="I83" s="1" t="str">
        <f t="shared" si="3"/>
        <v/>
      </c>
      <c r="J83" s="1" t="str">
        <f t="shared" si="4"/>
        <v/>
      </c>
      <c r="K83" s="3"/>
      <c r="L83" s="3"/>
      <c r="M83" s="1"/>
      <c r="N83" s="1"/>
      <c r="O83" s="1"/>
      <c r="P83" s="1"/>
    </row>
    <row r="84" spans="1:16" ht="29.1" customHeight="1" x14ac:dyDescent="0.3">
      <c r="A84" s="13"/>
      <c r="B84" s="13"/>
      <c r="C84" s="1"/>
      <c r="D84" s="1"/>
      <c r="E84" s="3"/>
      <c r="F84" s="1"/>
      <c r="G84" s="1"/>
      <c r="H84" s="1" t="str">
        <f t="shared" si="5"/>
        <v/>
      </c>
      <c r="I84" s="1" t="str">
        <f t="shared" si="3"/>
        <v/>
      </c>
      <c r="J84" s="1" t="str">
        <f t="shared" si="4"/>
        <v/>
      </c>
      <c r="K84" s="3"/>
      <c r="L84" s="3"/>
      <c r="M84" s="1"/>
      <c r="N84" s="1"/>
      <c r="O84" s="1"/>
      <c r="P84" s="1"/>
    </row>
    <row r="85" spans="1:16" ht="29.1" customHeight="1" x14ac:dyDescent="0.3">
      <c r="A85" s="13"/>
      <c r="B85" s="13"/>
      <c r="C85" s="1"/>
      <c r="D85" s="1"/>
      <c r="E85" s="3"/>
      <c r="F85" s="1"/>
      <c r="G85" s="1"/>
      <c r="H85" s="1" t="str">
        <f t="shared" si="5"/>
        <v/>
      </c>
      <c r="I85" s="1" t="str">
        <f t="shared" si="3"/>
        <v/>
      </c>
      <c r="J85" s="1" t="str">
        <f t="shared" si="4"/>
        <v/>
      </c>
      <c r="K85" s="3"/>
      <c r="L85" s="3"/>
      <c r="M85" s="1"/>
      <c r="N85" s="1"/>
      <c r="O85" s="1"/>
      <c r="P85" s="1"/>
    </row>
    <row r="86" spans="1:16" ht="29.1" customHeight="1" x14ac:dyDescent="0.3">
      <c r="A86" s="13"/>
      <c r="B86" s="13"/>
      <c r="C86" s="1"/>
      <c r="D86" s="1"/>
      <c r="E86" s="3"/>
      <c r="F86" s="1"/>
      <c r="G86" s="1"/>
      <c r="H86" s="1" t="str">
        <f t="shared" si="5"/>
        <v/>
      </c>
      <c r="I86" s="1" t="str">
        <f t="shared" si="3"/>
        <v/>
      </c>
      <c r="J86" s="1" t="str">
        <f t="shared" si="4"/>
        <v/>
      </c>
      <c r="K86" s="3"/>
      <c r="L86" s="3"/>
      <c r="M86" s="1"/>
      <c r="N86" s="1"/>
      <c r="O86" s="1"/>
      <c r="P86" s="1"/>
    </row>
    <row r="87" spans="1:16" ht="29.1" customHeight="1" x14ac:dyDescent="0.3">
      <c r="A87" s="13"/>
      <c r="B87" s="13"/>
      <c r="C87" s="1"/>
      <c r="D87" s="1"/>
      <c r="E87" s="3"/>
      <c r="F87" s="1"/>
      <c r="G87" s="1"/>
      <c r="H87" s="1" t="str">
        <f t="shared" si="5"/>
        <v/>
      </c>
      <c r="I87" s="1" t="str">
        <f t="shared" si="3"/>
        <v/>
      </c>
      <c r="J87" s="1" t="str">
        <f t="shared" si="4"/>
        <v/>
      </c>
      <c r="K87" s="3"/>
      <c r="L87" s="3"/>
      <c r="M87" s="1"/>
      <c r="N87" s="1"/>
      <c r="O87" s="1"/>
      <c r="P87" s="1"/>
    </row>
    <row r="88" spans="1:16" ht="29.1" customHeight="1" x14ac:dyDescent="0.3">
      <c r="A88" s="13"/>
      <c r="B88" s="13"/>
      <c r="C88" s="1"/>
      <c r="D88" s="1"/>
      <c r="E88" s="3"/>
      <c r="F88" s="1"/>
      <c r="G88" s="1"/>
      <c r="H88" s="1" t="str">
        <f t="shared" si="5"/>
        <v/>
      </c>
      <c r="I88" s="1" t="str">
        <f t="shared" si="3"/>
        <v/>
      </c>
      <c r="J88" s="1" t="str">
        <f t="shared" si="4"/>
        <v/>
      </c>
      <c r="K88" s="3"/>
      <c r="L88" s="3"/>
      <c r="M88" s="1"/>
      <c r="N88" s="1"/>
      <c r="O88" s="1"/>
      <c r="P88" s="1"/>
    </row>
    <row r="89" spans="1:16" ht="29.1" customHeight="1" x14ac:dyDescent="0.3">
      <c r="A89" s="13"/>
      <c r="B89" s="13"/>
      <c r="C89" s="1"/>
      <c r="D89" s="1"/>
      <c r="E89" s="3"/>
      <c r="F89" s="1"/>
      <c r="G89" s="1"/>
      <c r="H89" s="1" t="str">
        <f t="shared" si="5"/>
        <v/>
      </c>
      <c r="I89" s="1" t="str">
        <f t="shared" si="3"/>
        <v/>
      </c>
      <c r="J89" s="1" t="str">
        <f t="shared" si="4"/>
        <v/>
      </c>
      <c r="K89" s="3"/>
      <c r="L89" s="3"/>
      <c r="M89" s="1"/>
      <c r="N89" s="1"/>
      <c r="O89" s="1"/>
      <c r="P89" s="1"/>
    </row>
    <row r="90" spans="1:16" ht="29.1" customHeight="1" x14ac:dyDescent="0.3">
      <c r="A90" s="13"/>
      <c r="B90" s="13"/>
      <c r="C90" s="1"/>
      <c r="D90" s="1"/>
      <c r="E90" s="3"/>
      <c r="F90" s="1"/>
      <c r="G90" s="1"/>
      <c r="H90" s="1" t="str">
        <f t="shared" si="5"/>
        <v/>
      </c>
      <c r="I90" s="1" t="str">
        <f t="shared" si="3"/>
        <v/>
      </c>
      <c r="J90" s="1" t="str">
        <f t="shared" si="4"/>
        <v/>
      </c>
      <c r="K90" s="3"/>
      <c r="L90" s="3"/>
      <c r="M90" s="1"/>
      <c r="N90" s="1"/>
      <c r="O90" s="1"/>
      <c r="P90" s="1"/>
    </row>
    <row r="91" spans="1:16" ht="29.1" customHeight="1" x14ac:dyDescent="0.3">
      <c r="A91" s="13"/>
      <c r="B91" s="13"/>
      <c r="C91" s="1"/>
      <c r="D91" s="1"/>
      <c r="E91" s="3"/>
      <c r="F91" s="1"/>
      <c r="G91" s="1"/>
      <c r="H91" s="1" t="str">
        <f t="shared" si="5"/>
        <v/>
      </c>
      <c r="I91" s="1" t="str">
        <f t="shared" si="3"/>
        <v/>
      </c>
      <c r="J91" s="1" t="str">
        <f t="shared" si="4"/>
        <v/>
      </c>
      <c r="K91" s="3"/>
      <c r="L91" s="3"/>
      <c r="M91" s="1"/>
      <c r="N91" s="1"/>
      <c r="O91" s="1"/>
      <c r="P91" s="1"/>
    </row>
    <row r="92" spans="1:16" ht="29.1" customHeight="1" x14ac:dyDescent="0.3">
      <c r="A92" s="13"/>
      <c r="B92" s="13"/>
      <c r="C92" s="1"/>
      <c r="D92" s="1"/>
      <c r="E92" s="3"/>
      <c r="F92" s="1"/>
      <c r="G92" s="1"/>
      <c r="H92" s="1" t="str">
        <f t="shared" si="5"/>
        <v/>
      </c>
      <c r="I92" s="1" t="str">
        <f t="shared" si="3"/>
        <v/>
      </c>
      <c r="J92" s="1" t="str">
        <f t="shared" si="4"/>
        <v/>
      </c>
      <c r="K92" s="3"/>
      <c r="L92" s="3"/>
      <c r="M92" s="1"/>
      <c r="N92" s="1"/>
      <c r="O92" s="1"/>
      <c r="P92" s="1"/>
    </row>
    <row r="93" spans="1:16" ht="29.1" customHeight="1" x14ac:dyDescent="0.3">
      <c r="A93" s="13"/>
      <c r="B93" s="13"/>
      <c r="C93" s="1"/>
      <c r="D93" s="1"/>
      <c r="E93" s="3"/>
      <c r="F93" s="1"/>
      <c r="G93" s="1"/>
      <c r="H93" s="1" t="str">
        <f t="shared" si="5"/>
        <v/>
      </c>
      <c r="I93" s="1" t="str">
        <f t="shared" si="3"/>
        <v/>
      </c>
      <c r="J93" s="1" t="str">
        <f t="shared" si="4"/>
        <v/>
      </c>
      <c r="K93" s="3"/>
      <c r="L93" s="3"/>
      <c r="M93" s="1"/>
      <c r="N93" s="1"/>
      <c r="O93" s="1"/>
      <c r="P93" s="1"/>
    </row>
    <row r="94" spans="1:16" ht="29.1" customHeight="1" x14ac:dyDescent="0.3">
      <c r="A94" s="13"/>
      <c r="B94" s="13"/>
      <c r="C94" s="1"/>
      <c r="D94" s="1"/>
      <c r="E94" s="3"/>
      <c r="F94" s="1"/>
      <c r="G94" s="1"/>
      <c r="H94" s="1" t="str">
        <f t="shared" si="5"/>
        <v/>
      </c>
      <c r="I94" s="1" t="str">
        <f t="shared" si="3"/>
        <v/>
      </c>
      <c r="J94" s="1" t="str">
        <f t="shared" si="4"/>
        <v/>
      </c>
      <c r="K94" s="3"/>
      <c r="L94" s="3"/>
      <c r="M94" s="1"/>
      <c r="N94" s="1"/>
      <c r="O94" s="1"/>
      <c r="P94" s="1"/>
    </row>
    <row r="95" spans="1:16" ht="29.1" customHeight="1" x14ac:dyDescent="0.3">
      <c r="A95" s="13"/>
      <c r="B95" s="13"/>
      <c r="C95" s="1"/>
      <c r="D95" s="1"/>
      <c r="E95" s="3"/>
      <c r="F95" s="1"/>
      <c r="G95" s="1"/>
      <c r="H95" s="1" t="str">
        <f t="shared" si="5"/>
        <v/>
      </c>
      <c r="I95" s="1" t="str">
        <f t="shared" si="3"/>
        <v/>
      </c>
      <c r="J95" s="1" t="str">
        <f t="shared" si="4"/>
        <v/>
      </c>
      <c r="K95" s="3"/>
      <c r="L95" s="3"/>
      <c r="M95" s="1"/>
      <c r="N95" s="1"/>
      <c r="O95" s="1"/>
      <c r="P95" s="1"/>
    </row>
    <row r="96" spans="1:16" ht="29.1" customHeight="1" x14ac:dyDescent="0.3">
      <c r="A96" s="13"/>
      <c r="B96" s="13"/>
      <c r="C96" s="1"/>
      <c r="D96" s="1"/>
      <c r="E96" s="3"/>
      <c r="F96" s="1"/>
      <c r="G96" s="1"/>
      <c r="H96" s="1" t="str">
        <f t="shared" si="5"/>
        <v/>
      </c>
      <c r="I96" s="1" t="str">
        <f t="shared" si="3"/>
        <v/>
      </c>
      <c r="J96" s="1" t="str">
        <f t="shared" si="4"/>
        <v/>
      </c>
      <c r="K96" s="3"/>
      <c r="L96" s="3"/>
      <c r="M96" s="1"/>
      <c r="N96" s="1"/>
      <c r="O96" s="1"/>
      <c r="P96" s="1"/>
    </row>
    <row r="97" spans="1:16" ht="29.1" customHeight="1" x14ac:dyDescent="0.3">
      <c r="A97" s="13"/>
      <c r="B97" s="13"/>
      <c r="C97" s="1"/>
      <c r="D97" s="1"/>
      <c r="E97" s="3"/>
      <c r="F97" s="1"/>
      <c r="G97" s="1"/>
      <c r="H97" s="1" t="str">
        <f t="shared" si="5"/>
        <v/>
      </c>
      <c r="I97" s="1" t="str">
        <f t="shared" si="3"/>
        <v/>
      </c>
      <c r="J97" s="1" t="str">
        <f t="shared" si="4"/>
        <v/>
      </c>
      <c r="K97" s="3"/>
      <c r="L97" s="3"/>
      <c r="M97" s="1"/>
      <c r="N97" s="1"/>
      <c r="O97" s="1"/>
      <c r="P97" s="1"/>
    </row>
    <row r="98" spans="1:16" ht="29.1" customHeight="1" x14ac:dyDescent="0.3">
      <c r="A98" s="13"/>
      <c r="B98" s="13"/>
      <c r="C98" s="1"/>
      <c r="D98" s="1"/>
      <c r="E98" s="3"/>
      <c r="F98" s="1"/>
      <c r="G98" s="1"/>
      <c r="H98" s="1" t="str">
        <f t="shared" si="5"/>
        <v/>
      </c>
      <c r="I98" s="1" t="str">
        <f t="shared" si="3"/>
        <v/>
      </c>
      <c r="J98" s="1" t="str">
        <f t="shared" si="4"/>
        <v/>
      </c>
      <c r="K98" s="3"/>
      <c r="L98" s="3"/>
      <c r="M98" s="1"/>
      <c r="N98" s="1"/>
      <c r="O98" s="1"/>
      <c r="P98" s="1"/>
    </row>
    <row r="99" spans="1:16" ht="29.1" customHeight="1" x14ac:dyDescent="0.3">
      <c r="A99" s="13"/>
      <c r="B99" s="13"/>
      <c r="C99" s="1"/>
      <c r="D99" s="1"/>
      <c r="E99" s="3"/>
      <c r="F99" s="1"/>
      <c r="G99" s="1"/>
      <c r="H99" s="1" t="str">
        <f t="shared" si="5"/>
        <v/>
      </c>
      <c r="I99" s="1" t="str">
        <f t="shared" si="3"/>
        <v/>
      </c>
      <c r="J99" s="1" t="str">
        <f t="shared" si="4"/>
        <v/>
      </c>
      <c r="K99" s="3"/>
      <c r="L99" s="3"/>
      <c r="M99" s="1"/>
      <c r="N99" s="1"/>
      <c r="O99" s="1"/>
      <c r="P99" s="1"/>
    </row>
    <row r="100" spans="1:16" ht="29.1" customHeight="1" x14ac:dyDescent="0.3">
      <c r="A100" s="13"/>
      <c r="B100" s="13"/>
      <c r="C100" s="1"/>
      <c r="D100" s="1"/>
      <c r="E100" s="3"/>
      <c r="F100" s="1"/>
      <c r="G100" s="1"/>
      <c r="H100" s="1" t="str">
        <f t="shared" si="5"/>
        <v/>
      </c>
      <c r="I100" s="1" t="str">
        <f t="shared" si="3"/>
        <v/>
      </c>
      <c r="J100" s="1" t="str">
        <f t="shared" si="4"/>
        <v/>
      </c>
      <c r="K100" s="3"/>
      <c r="L100" s="3"/>
      <c r="M100" s="1"/>
      <c r="N100" s="1"/>
      <c r="O100" s="1"/>
      <c r="P100" s="1"/>
    </row>
    <row r="101" spans="1:16" ht="29.1" customHeight="1" x14ac:dyDescent="0.3">
      <c r="A101" s="13"/>
      <c r="B101" s="13"/>
      <c r="C101" s="1"/>
      <c r="D101" s="1"/>
      <c r="E101" s="3"/>
      <c r="F101" s="1"/>
      <c r="G101" s="1"/>
      <c r="H101" s="1" t="str">
        <f t="shared" si="5"/>
        <v/>
      </c>
      <c r="I101" s="1" t="str">
        <f t="shared" si="3"/>
        <v/>
      </c>
      <c r="J101" s="1" t="str">
        <f t="shared" si="4"/>
        <v/>
      </c>
      <c r="K101" s="3"/>
      <c r="L101" s="3"/>
      <c r="M101" s="1"/>
      <c r="N101" s="1"/>
      <c r="O101" s="1"/>
      <c r="P101" s="1"/>
    </row>
    <row r="102" spans="1:16" ht="29.1" customHeight="1" x14ac:dyDescent="0.3">
      <c r="A102" s="13"/>
      <c r="B102" s="13"/>
      <c r="C102" s="1"/>
      <c r="D102" s="1"/>
      <c r="E102" s="3"/>
      <c r="F102" s="1"/>
      <c r="G102" s="1"/>
      <c r="H102" s="1" t="str">
        <f t="shared" si="5"/>
        <v/>
      </c>
      <c r="I102" s="1" t="str">
        <f t="shared" si="3"/>
        <v/>
      </c>
      <c r="J102" s="1" t="str">
        <f t="shared" si="4"/>
        <v/>
      </c>
      <c r="K102" s="3"/>
      <c r="L102" s="3"/>
      <c r="M102" s="1"/>
      <c r="N102" s="1"/>
      <c r="O102" s="1"/>
      <c r="P102" s="1"/>
    </row>
  </sheetData>
  <autoFilter ref="F1:F102" xr:uid="{C8882095-B7F3-4C0A-AECE-0705C515D871}"/>
  <mergeCells count="11">
    <mergeCell ref="A1:B1"/>
    <mergeCell ref="C1:C2"/>
    <mergeCell ref="D1:D2"/>
    <mergeCell ref="F1:G1"/>
    <mergeCell ref="E1:E2"/>
    <mergeCell ref="Q1:Q2"/>
    <mergeCell ref="H1:J1"/>
    <mergeCell ref="O1:O2"/>
    <mergeCell ref="P1:P2"/>
    <mergeCell ref="M1:N1"/>
    <mergeCell ref="K1:L1"/>
  </mergeCells>
  <conditionalFormatting sqref="A3:A48 A51:A100">
    <cfRule type="expression" dxfId="5" priority="2">
      <formula>AND(C3&lt;&gt;"", A3="")</formula>
    </cfRule>
  </conditionalFormatting>
  <conditionalFormatting sqref="A49">
    <cfRule type="expression" dxfId="4" priority="4">
      <formula>AND(C50&lt;&gt;"", A49="")</formula>
    </cfRule>
  </conditionalFormatting>
  <conditionalFormatting sqref="B3:B65 B67:B69 B72:B102">
    <cfRule type="expression" dxfId="3" priority="1">
      <formula>AND(G3&lt;&gt;"", B3="")</formula>
    </cfRule>
  </conditionalFormatting>
  <conditionalFormatting sqref="B66">
    <cfRule type="expression" dxfId="2" priority="8">
      <formula>AND(G71&lt;&gt;"", B66="")</formula>
    </cfRule>
  </conditionalFormatting>
  <conditionalFormatting sqref="B69">
    <cfRule type="expression" dxfId="1" priority="18">
      <formula>AND(#REF!&lt;&gt;"", B69="")</formula>
    </cfRule>
  </conditionalFormatting>
  <conditionalFormatting sqref="B70:B71">
    <cfRule type="expression" dxfId="0" priority="12">
      <formula>AND(G69&lt;&gt;"", B70="")</formula>
    </cfRule>
  </conditionalFormatting>
  <hyperlinks>
    <hyperlink ref="H19" r:id="rId1" xr:uid="{3FE627F8-0CE5-4768-8D2C-B77D439DCFF5}"/>
    <hyperlink ref="H35" r:id="rId2" xr:uid="{D98B4D0D-EAA8-49D8-B3D9-E322E11F8F51}"/>
    <hyperlink ref="H37" r:id="rId3" display="https://urldefense.com/v3/__https://vpn.infraestruturasdeportugal.pt/sslvpn/Login/Login__;!!NpxR!jweiTjtYHp71a0luU2zmAIOIiUiy3kv7n_DbXVzoqpwPZep10EQn6rsNWH1TooMX3uBrQYgbYyUdzQRBh3jXnh_eH2C2gp5Yo4M$" xr:uid="{15C739C2-A804-4E5F-A82E-0568A94ECF21}"/>
    <hyperlink ref="I37" r:id="rId4" xr:uid="{42F43FAF-BA4D-437F-B8F2-C80856DD00B1}"/>
    <hyperlink ref="I54" r:id="rId5" xr:uid="{A1D6383D-34AE-489F-8075-142ED5B84CDF}"/>
    <hyperlink ref="H55" r:id="rId6" xr:uid="{A38C52ED-6239-413D-8C09-CA41C05F170D}"/>
    <hyperlink ref="P61" r:id="rId7" display="5403343037" xr:uid="{0F4BCF40-D7E8-4270-A8C8-9CA2B5E8755A}"/>
  </hyperlinks>
  <pageMargins left="0.7" right="0.7" top="0.75" bottom="0.75" header="0.3" footer="0.3"/>
  <pageSetup orientation="portrait" r:id="rId8"/>
  <extLst>
    <ext xmlns:x14="http://schemas.microsoft.com/office/spreadsheetml/2009/9/main" uri="{CCE6A557-97BC-4b89-ADB6-D9C93CAAB3DF}">
      <x14:dataValidations xmlns:xm="http://schemas.microsoft.com/office/excel/2006/main" count="3">
        <x14:dataValidation type="list" allowBlank="1" showInputMessage="1" showErrorMessage="1" xr:uid="{E3BF8474-9932-47A0-BE8E-AAFA23C62BE4}">
          <x14:formula1>
            <xm:f>data!$B$1:$B$5</xm:f>
          </x14:formula1>
          <xm:sqref>K3:K5 K31:K102 L3:L102</xm:sqref>
        </x14:dataValidation>
        <x14:dataValidation type="list" allowBlank="1" showInputMessage="1" showErrorMessage="1" xr:uid="{DCFA1C70-5849-4B8A-9385-8748D11AA480}">
          <x14:formula1>
            <xm:f>data!$C$1:$C$5</xm:f>
          </x14:formula1>
          <xm:sqref>E3:E5 E12:E13 E31:E102</xm:sqref>
        </x14:dataValidation>
        <x14:dataValidation type="list" allowBlank="1" showInputMessage="1" showErrorMessage="1" xr:uid="{3B7BE361-8EA3-482D-A3D2-4B8AF437593C}">
          <x14:formula1>
            <xm:f>data!$A$1:$A$5</xm:f>
          </x14:formula1>
          <xm:sqref>F3:G102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D323B-E09C-4AE1-B532-5057B39F2BE1}">
  <dimension ref="A1:C5"/>
  <sheetViews>
    <sheetView workbookViewId="0">
      <selection activeCell="C3" sqref="C3"/>
    </sheetView>
  </sheetViews>
  <sheetFormatPr defaultColWidth="8.88671875" defaultRowHeight="14.4" x14ac:dyDescent="0.3"/>
  <cols>
    <col min="2" max="2" width="9.88671875" bestFit="1" customWidth="1"/>
  </cols>
  <sheetData>
    <row r="1" spans="1:3" x14ac:dyDescent="0.3">
      <c r="A1" t="s">
        <v>17</v>
      </c>
      <c r="B1" t="s">
        <v>21</v>
      </c>
      <c r="C1" t="s">
        <v>5</v>
      </c>
    </row>
    <row r="2" spans="1:3" x14ac:dyDescent="0.3">
      <c r="A2" t="s">
        <v>37</v>
      </c>
      <c r="B2" t="s">
        <v>198</v>
      </c>
      <c r="C2" t="s">
        <v>30</v>
      </c>
    </row>
    <row r="3" spans="1:3" x14ac:dyDescent="0.3">
      <c r="A3" t="s">
        <v>34</v>
      </c>
      <c r="B3" t="s">
        <v>199</v>
      </c>
    </row>
    <row r="4" spans="1:3" x14ac:dyDescent="0.3">
      <c r="A4" t="s">
        <v>52</v>
      </c>
      <c r="B4" t="s">
        <v>200</v>
      </c>
    </row>
    <row r="5" spans="1:3" x14ac:dyDescent="0.3">
      <c r="A5"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BD884-0A6E-474B-AAF1-3790F8C8494A}">
  <dimension ref="A1:G2"/>
  <sheetViews>
    <sheetView workbookViewId="0">
      <selection activeCell="E2" sqref="E2:F2"/>
    </sheetView>
  </sheetViews>
  <sheetFormatPr defaultColWidth="8.88671875" defaultRowHeight="14.4" x14ac:dyDescent="0.3"/>
  <cols>
    <col min="1" max="1" width="9.44140625" bestFit="1" customWidth="1"/>
    <col min="2" max="2" width="14.44140625" customWidth="1"/>
    <col min="3" max="3" width="10.44140625" bestFit="1" customWidth="1"/>
    <col min="4" max="4" width="9.44140625" bestFit="1" customWidth="1"/>
    <col min="5" max="5" width="51.44140625" customWidth="1"/>
    <col min="6" max="6" width="54" customWidth="1"/>
    <col min="7" max="7" width="21.44140625" customWidth="1"/>
  </cols>
  <sheetData>
    <row r="1" spans="1:7" x14ac:dyDescent="0.3">
      <c r="A1" t="s">
        <v>201</v>
      </c>
      <c r="B1" t="s">
        <v>1</v>
      </c>
      <c r="C1" t="s">
        <v>202</v>
      </c>
      <c r="D1" t="s">
        <v>203</v>
      </c>
      <c r="E1" t="s">
        <v>204</v>
      </c>
      <c r="F1" t="s">
        <v>205</v>
      </c>
      <c r="G1" t="s">
        <v>206</v>
      </c>
    </row>
    <row r="2" spans="1:7" ht="28.8" x14ac:dyDescent="0.3">
      <c r="A2" s="18">
        <v>46187</v>
      </c>
      <c r="B2" t="s">
        <v>207</v>
      </c>
      <c r="C2">
        <v>1.8</v>
      </c>
      <c r="D2">
        <v>1.1100000000000001</v>
      </c>
      <c r="E2" t="s">
        <v>208</v>
      </c>
      <c r="F2" s="16" t="s">
        <v>209</v>
      </c>
      <c r="G2" s="51">
        <v>5403343037</v>
      </c>
    </row>
  </sheetData>
  <hyperlinks>
    <hyperlink ref="G2" r:id="rId1" display="5403343037" xr:uid="{445A2A64-290E-4281-A42A-7515EC3B541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2D1E1-0336-4B73-9F3B-8E7DB06E418F}">
  <dimension ref="A1:E7"/>
  <sheetViews>
    <sheetView workbookViewId="0">
      <selection activeCell="E7" sqref="E7"/>
    </sheetView>
  </sheetViews>
  <sheetFormatPr defaultColWidth="8.88671875" defaultRowHeight="14.4" x14ac:dyDescent="0.3"/>
  <cols>
    <col min="1" max="1" width="67.33203125" bestFit="1" customWidth="1"/>
    <col min="2" max="2" width="12.109375" bestFit="1" customWidth="1"/>
    <col min="5" max="5" width="55.109375" customWidth="1"/>
  </cols>
  <sheetData>
    <row r="1" spans="1:5" x14ac:dyDescent="0.3">
      <c r="A1" t="s">
        <v>210</v>
      </c>
      <c r="B1" t="s">
        <v>202</v>
      </c>
      <c r="C1" t="s">
        <v>203</v>
      </c>
      <c r="E1" t="s">
        <v>205</v>
      </c>
    </row>
    <row r="2" spans="1:5" ht="72" x14ac:dyDescent="0.3">
      <c r="A2" t="s">
        <v>211</v>
      </c>
      <c r="B2" t="s">
        <v>212</v>
      </c>
      <c r="C2" t="s">
        <v>213</v>
      </c>
      <c r="E2" s="16" t="s">
        <v>214</v>
      </c>
    </row>
    <row r="3" spans="1:5" ht="86.4" x14ac:dyDescent="0.3">
      <c r="A3" t="s">
        <v>215</v>
      </c>
      <c r="B3" t="s">
        <v>212</v>
      </c>
      <c r="C3" t="s">
        <v>213</v>
      </c>
      <c r="E3" s="16" t="s">
        <v>216</v>
      </c>
    </row>
    <row r="4" spans="1:5" ht="43.2" x14ac:dyDescent="0.3">
      <c r="A4" t="s">
        <v>217</v>
      </c>
      <c r="B4" t="s">
        <v>218</v>
      </c>
      <c r="C4" t="s">
        <v>219</v>
      </c>
      <c r="E4" s="16" t="s">
        <v>220</v>
      </c>
    </row>
    <row r="5" spans="1:5" x14ac:dyDescent="0.3">
      <c r="A5" t="s">
        <v>221</v>
      </c>
      <c r="B5" t="s">
        <v>218</v>
      </c>
      <c r="C5" t="s">
        <v>219</v>
      </c>
      <c r="E5" t="s">
        <v>222</v>
      </c>
    </row>
    <row r="6" spans="1:5" ht="43.2" x14ac:dyDescent="0.3">
      <c r="A6" t="s">
        <v>223</v>
      </c>
      <c r="B6" t="s">
        <v>218</v>
      </c>
      <c r="C6" t="s">
        <v>219</v>
      </c>
      <c r="E6" s="16" t="s">
        <v>224</v>
      </c>
    </row>
    <row r="7" spans="1:5" x14ac:dyDescent="0.3">
      <c r="A7" t="s">
        <v>225</v>
      </c>
      <c r="B7" t="s">
        <v>218</v>
      </c>
      <c r="C7" t="s">
        <v>226</v>
      </c>
      <c r="E7" t="s">
        <v>227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A3E82-C6C8-44B6-B16F-5F36D379DF8A}">
  <dimension ref="A1:O46"/>
  <sheetViews>
    <sheetView zoomScale="62" zoomScaleNormal="85" workbookViewId="0">
      <selection activeCell="D50" sqref="D50"/>
    </sheetView>
  </sheetViews>
  <sheetFormatPr defaultColWidth="8.88671875" defaultRowHeight="14.4" x14ac:dyDescent="0.3"/>
  <cols>
    <col min="1" max="1" width="65" bestFit="1" customWidth="1"/>
    <col min="2" max="2" width="14.44140625" bestFit="1" customWidth="1"/>
    <col min="3" max="3" width="24.44140625" bestFit="1" customWidth="1"/>
    <col min="4" max="4" width="47" bestFit="1" customWidth="1"/>
    <col min="5" max="5" width="17.33203125" bestFit="1" customWidth="1"/>
    <col min="6" max="6" width="38.44140625" bestFit="1" customWidth="1"/>
    <col min="7" max="7" width="21.6640625" bestFit="1" customWidth="1"/>
    <col min="8" max="8" width="60.109375" bestFit="1" customWidth="1"/>
    <col min="9" max="9" width="10.33203125" bestFit="1" customWidth="1"/>
    <col min="10" max="10" width="45.44140625" bestFit="1" customWidth="1"/>
    <col min="11" max="12" width="17.33203125" bestFit="1" customWidth="1"/>
    <col min="13" max="14" width="21.6640625" bestFit="1" customWidth="1"/>
    <col min="15" max="15" width="17.44140625" bestFit="1" customWidth="1"/>
  </cols>
  <sheetData>
    <row r="1" spans="1:15" ht="21" x14ac:dyDescent="0.4">
      <c r="A1" s="21" t="s">
        <v>228</v>
      </c>
    </row>
    <row r="3" spans="1:15" x14ac:dyDescent="0.3">
      <c r="A3" t="s">
        <v>229</v>
      </c>
      <c r="B3" s="22">
        <f ca="1">TODAY()</f>
        <v>46216</v>
      </c>
    </row>
    <row r="5" spans="1:15" ht="18" x14ac:dyDescent="0.35">
      <c r="A5" s="23" t="s">
        <v>230</v>
      </c>
      <c r="D5" s="23" t="s">
        <v>231</v>
      </c>
      <c r="J5" s="23" t="s">
        <v>232</v>
      </c>
    </row>
    <row r="6" spans="1:15" x14ac:dyDescent="0.3">
      <c r="A6" s="19" t="s">
        <v>233</v>
      </c>
      <c r="B6" s="19" t="s">
        <v>234</v>
      </c>
      <c r="D6" s="17" t="s">
        <v>4</v>
      </c>
      <c r="E6" s="17" t="s">
        <v>235</v>
      </c>
      <c r="F6" s="17" t="s">
        <v>236</v>
      </c>
      <c r="G6" s="17" t="s">
        <v>237</v>
      </c>
      <c r="H6" s="17" t="s">
        <v>238</v>
      </c>
      <c r="J6" s="27" t="s">
        <v>239</v>
      </c>
      <c r="K6" s="27" t="s">
        <v>235</v>
      </c>
      <c r="L6" s="27" t="s">
        <v>237</v>
      </c>
      <c r="M6" s="27" t="s">
        <v>236</v>
      </c>
      <c r="N6" s="27" t="s">
        <v>238</v>
      </c>
    </row>
    <row r="7" spans="1:15" x14ac:dyDescent="0.3">
      <c r="A7" t="s">
        <v>240</v>
      </c>
      <c r="B7" cm="1">
        <f t="array" aca="1" ref="B7" ca="1">SUMPRODUCT((Details!$A$3:$A$102&gt;=TODAY()-7)*(Details!$A$3:$A$102&lt;=TODAY())*(Details!$A$3:$A$102&lt;&gt;""))</f>
        <v>3</v>
      </c>
      <c r="D7" t="s">
        <v>17</v>
      </c>
      <c r="E7">
        <f>COUNTIF(Details!$F$3:$F$102,D7)</f>
        <v>4</v>
      </c>
      <c r="F7">
        <f>COUNTIF(Details!$G$3:$G$102,D7)</f>
        <v>14</v>
      </c>
      <c r="G7">
        <f>SUMIF(Details!$F$3:$F$102,D7,Details!$M$3:$M$102)</f>
        <v>14</v>
      </c>
      <c r="H7">
        <f>SUMIF(Details!$G$3:$G$102,D7,Details!$N$3:$N$102)</f>
        <v>16</v>
      </c>
      <c r="J7" s="18">
        <f ca="1">TODAY()-WEEKDAY(TODAY(),2)+1</f>
        <v>46216</v>
      </c>
      <c r="K7" cm="1">
        <f t="array" aca="1" ref="K7" ca="1">SUMPRODUCT((Details!$A$3:$A$102&gt;=J7)*(Details!$A$3:$A$102&lt;J7+7)*(Details!$A$3:$A$102&lt;&gt;""))</f>
        <v>0</v>
      </c>
      <c r="L7" cm="1">
        <f t="array" aca="1" ref="L7" ca="1">SUMPRODUCT((Details!$A$3:$A$102&gt;=J7)*(Details!$A$3:$A$102&lt;J7+7)*1,Details!$M$3:$M$102)</f>
        <v>0</v>
      </c>
      <c r="M7" cm="1">
        <f t="array" aca="1" ref="M7" ca="1">SUMPRODUCT((Details!$B$3:$B$102&gt;=J7)*(Details!$B$3:$B$102&lt;J7+7)*(Details!$B$3:$B$102&lt;&gt;""))</f>
        <v>1</v>
      </c>
      <c r="N7" cm="1">
        <f t="array" aca="1" ref="N7" ca="1">SUMPRODUCT((Details!$B$3:$B$102&gt;=J7)*(Details!$B$3:$B$102&lt;J7+7)*1,Details!$N$3:$N$102)</f>
        <v>1</v>
      </c>
      <c r="O7" s="28" t="s">
        <v>241</v>
      </c>
    </row>
    <row r="8" spans="1:15" x14ac:dyDescent="0.3">
      <c r="A8" t="s">
        <v>242</v>
      </c>
      <c r="B8" cm="1">
        <f t="array" aca="1" ref="B8" ca="1">SUMPRODUCT((Details!$B$3:$B$102&gt;=TODAY()-7)*(Details!$B$3:$B$102&lt;=TODAY())*(Details!$B$3:$B$102&lt;&gt;""))</f>
        <v>3</v>
      </c>
      <c r="D8" t="s">
        <v>37</v>
      </c>
      <c r="E8">
        <f>COUNTIF(Details!$F$3:$F$102,D8)</f>
        <v>5</v>
      </c>
      <c r="F8">
        <f>COUNTIF(Details!$G$3:$G$102,D8)</f>
        <v>21</v>
      </c>
      <c r="G8">
        <f>SUMIF(Details!$F$3:$F$102,D8,Details!$M$3:$M$102)</f>
        <v>12</v>
      </c>
      <c r="H8">
        <f>SUMIF(Details!$G$3:$G$102,D8,Details!$N$3:$N$102)</f>
        <v>16.5</v>
      </c>
      <c r="J8" s="18">
        <f t="shared" ref="J8:J14" ca="1" si="0">J7-7</f>
        <v>46209</v>
      </c>
      <c r="K8" cm="1">
        <f t="array" aca="1" ref="K8" ca="1">SUMPRODUCT((Details!$A$3:$A$102&gt;=J8)*(Details!$A$3:$A$102&lt;J8+7)*(Details!$A$3:$A$102&lt;&gt;""))</f>
        <v>3</v>
      </c>
      <c r="L8" cm="1">
        <f t="array" aca="1" ref="L8" ca="1">SUMPRODUCT((Details!$A$3:$A$102&gt;=J8)*(Details!$A$3:$A$102&lt;J8+7)*1,Details!$M$3:$M$102)</f>
        <v>4</v>
      </c>
      <c r="M8" cm="1">
        <f t="array" aca="1" ref="M8" ca="1">SUMPRODUCT((Details!$B$3:$B$102&gt;=J8)*(Details!$B$3:$B$102&lt;J8+7)*(Details!$B$3:$B$102&lt;&gt;""))</f>
        <v>2</v>
      </c>
      <c r="N8" cm="1">
        <f t="array" aca="1" ref="N8" ca="1">SUMPRODUCT((Details!$B$3:$B$102&gt;=J8)*(Details!$B$3:$B$102&lt;J8+7)*1,Details!$N$3:$N$102)</f>
        <v>1</v>
      </c>
    </row>
    <row r="9" spans="1:15" x14ac:dyDescent="0.3">
      <c r="A9" t="s">
        <v>243</v>
      </c>
      <c r="B9" cm="1">
        <f t="array" aca="1" ref="B9" ca="1">SUMPRODUCT((Details!$A$3:$A$102&gt;=TODAY()-7)*(Details!$A$3:$A$102&lt;=TODAY())*1,Details!$M$3:$M$102)</f>
        <v>4</v>
      </c>
      <c r="D9" t="s">
        <v>34</v>
      </c>
      <c r="E9">
        <f>COUNTIF(Details!$F$3:$F$102,D9)</f>
        <v>27</v>
      </c>
      <c r="F9">
        <f>COUNTIF(Details!$G$3:$G$102,D9)</f>
        <v>0</v>
      </c>
      <c r="G9">
        <f>SUMIF(Details!$F$3:$F$102,D9,Details!$M$3:$M$102)</f>
        <v>44</v>
      </c>
      <c r="H9">
        <f>SUMIF(Details!$G$3:$G$102,D9,Details!$N$3:$N$102)</f>
        <v>0</v>
      </c>
      <c r="J9" s="18">
        <f t="shared" ca="1" si="0"/>
        <v>46202</v>
      </c>
      <c r="K9" cm="1">
        <f t="array" aca="1" ref="K9" ca="1">SUMPRODUCT((Details!$A$3:$A$102&gt;=J9)*(Details!$A$3:$A$102&lt;J9+7)*(Details!$A$3:$A$102&lt;&gt;""))</f>
        <v>1</v>
      </c>
      <c r="L9" cm="1">
        <f t="array" aca="1" ref="L9" ca="1">SUMPRODUCT((Details!$A$3:$A$102&gt;=J9)*(Details!$A$3:$A$102&lt;J9+7)*1,Details!$M$3:$M$102)</f>
        <v>1</v>
      </c>
      <c r="M9" cm="1">
        <f t="array" aca="1" ref="M9" ca="1">SUMPRODUCT((Details!$B$3:$B$102&gt;=J9)*(Details!$B$3:$B$102&lt;J9+7)*(Details!$B$3:$B$102&lt;&gt;""))</f>
        <v>0</v>
      </c>
      <c r="N9" cm="1">
        <f t="array" aca="1" ref="N9" ca="1">SUMPRODUCT((Details!$B$3:$B$102&gt;=J9)*(Details!$B$3:$B$102&lt;J9+7)*1,Details!$N$3:$N$102)</f>
        <v>0</v>
      </c>
    </row>
    <row r="10" spans="1:15" x14ac:dyDescent="0.3">
      <c r="A10" t="s">
        <v>244</v>
      </c>
      <c r="B10" cm="1">
        <f t="array" aca="1" ref="B10" ca="1">SUMPRODUCT((Details!$B$3:$B$102&gt;=TODAY()-7)*(Details!$B$3:$B$102&lt;=TODAY())*1,Details!$N$3:$N$102)</f>
        <v>2</v>
      </c>
      <c r="D10" t="s">
        <v>52</v>
      </c>
      <c r="E10">
        <f>COUNTIF(Details!$F$3:$F$102,D10)</f>
        <v>20</v>
      </c>
      <c r="F10">
        <f>COUNTIF(Details!$G$3:$G$102,D10)</f>
        <v>0</v>
      </c>
      <c r="G10">
        <f>SUMIF(Details!$F$3:$F$102,D10,Details!$M$3:$M$102)</f>
        <v>3.5</v>
      </c>
      <c r="H10">
        <f>SUMIF(Details!$G$3:$G$102,D10,Details!$N$3:$N$102)</f>
        <v>0</v>
      </c>
      <c r="J10" s="18">
        <f t="shared" ca="1" si="0"/>
        <v>46195</v>
      </c>
      <c r="K10" cm="1">
        <f t="array" aca="1" ref="K10" ca="1">SUMPRODUCT((Details!$A$3:$A$102&gt;=J10)*(Details!$A$3:$A$102&lt;J10+7)*(Details!$A$3:$A$102&lt;&gt;""))</f>
        <v>7</v>
      </c>
      <c r="L10" cm="1">
        <f t="array" aca="1" ref="L10" ca="1">SUMPRODUCT((Details!$A$3:$A$102&gt;=J10)*(Details!$A$3:$A$102&lt;J10+7)*1,Details!$M$3:$M$102)</f>
        <v>4.5</v>
      </c>
      <c r="M10" cm="1">
        <f t="array" aca="1" ref="M10" ca="1">SUMPRODUCT((Details!$B$3:$B$102&gt;=J10)*(Details!$B$3:$B$102&lt;J10+7)*(Details!$B$3:$B$102&lt;&gt;""))</f>
        <v>1</v>
      </c>
      <c r="N10" cm="1">
        <f t="array" aca="1" ref="N10" ca="1">SUMPRODUCT((Details!$B$3:$B$102&gt;=J10)*(Details!$B$3:$B$102&lt;J10+7)*1,Details!$N$3:$N$102)</f>
        <v>0</v>
      </c>
    </row>
    <row r="11" spans="1:15" x14ac:dyDescent="0.3">
      <c r="A11" t="s">
        <v>245</v>
      </c>
      <c r="B11" cm="1">
        <f t="array" aca="1" ref="B11" ca="1">SUMPRODUCT((Details!$A$3:$A$102&gt;=TODAY()-7)*(Details!$A$3:$A$102&lt;=TODAY())*(Details!$K$3:$K$102="Done"))</f>
        <v>3</v>
      </c>
      <c r="D11" t="s">
        <v>43</v>
      </c>
      <c r="E11">
        <f>COUNTIF(Details!$F$3:$F$102,D11)</f>
        <v>15</v>
      </c>
      <c r="F11">
        <f>COUNTIF(Details!$G$3:$G$102,D11)</f>
        <v>0</v>
      </c>
      <c r="G11">
        <f>SUMIF(Details!$F$3:$F$102,D11,Details!$M$3:$M$102)</f>
        <v>44</v>
      </c>
      <c r="H11">
        <f>SUMIF(Details!$G$3:$G$102,D11,Details!$N$3:$N$102)</f>
        <v>0</v>
      </c>
      <c r="J11" s="18">
        <f t="shared" ca="1" si="0"/>
        <v>46188</v>
      </c>
      <c r="K11" cm="1">
        <f t="array" aca="1" ref="K11" ca="1">SUMPRODUCT((Details!$A$3:$A$102&gt;=J11)*(Details!$A$3:$A$102&lt;J11+7)*(Details!$A$3:$A$102&lt;&gt;""))</f>
        <v>5</v>
      </c>
      <c r="L11" cm="1">
        <f t="array" aca="1" ref="L11" ca="1">SUMPRODUCT((Details!$A$3:$A$102&gt;=J11)*(Details!$A$3:$A$102&lt;J11+7)*1,Details!$M$3:$M$102)</f>
        <v>9</v>
      </c>
      <c r="M11" cm="1">
        <f t="array" aca="1" ref="M11" ca="1">SUMPRODUCT((Details!$B$3:$B$102&gt;=J11)*(Details!$B$3:$B$102&lt;J11+7)*(Details!$B$3:$B$102&lt;&gt;""))</f>
        <v>0</v>
      </c>
      <c r="N11" cm="1">
        <f t="array" aca="1" ref="N11" ca="1">SUMPRODUCT((Details!$B$3:$B$102&gt;=J11)*(Details!$B$3:$B$102&lt;J11+7)*1,Details!$N$3:$N$102)</f>
        <v>0</v>
      </c>
    </row>
    <row r="12" spans="1:15" x14ac:dyDescent="0.3">
      <c r="A12" t="s">
        <v>246</v>
      </c>
      <c r="B12" cm="1">
        <f t="array" aca="1" ref="B12" ca="1">SUMPRODUCT((Details!$A$3:$A$102&gt;=TODAY()-7)*(Details!$A$3:$A$102&lt;=TODAY())*(Details!$K$3:$K$102="Blocked"))</f>
        <v>0</v>
      </c>
      <c r="D12" t="s">
        <v>40</v>
      </c>
      <c r="E12">
        <f>COUNTIF(Details!$F$3:$F$102,D12)</f>
        <v>3</v>
      </c>
      <c r="F12">
        <f>COUNTIF(Details!$G$3:$G$102,D12)</f>
        <v>0</v>
      </c>
      <c r="G12">
        <f>SUMIF(Details!$F$3:$F$102,D12,Details!$M$3:$M$102)</f>
        <v>0</v>
      </c>
      <c r="H12">
        <f>SUMIF(Details!$G$3:$G$102,D12,Details!$N$3:$N$102)</f>
        <v>0</v>
      </c>
      <c r="J12" s="18">
        <f t="shared" ca="1" si="0"/>
        <v>46181</v>
      </c>
      <c r="K12" cm="1">
        <f t="array" aca="1" ref="K12" ca="1">SUMPRODUCT((Details!$A$3:$A$102&gt;=J12)*(Details!$A$3:$A$102&lt;J12+7)*(Details!$A$3:$A$102&lt;&gt;""))</f>
        <v>3</v>
      </c>
      <c r="L12" cm="1">
        <f t="array" aca="1" ref="L12" ca="1">SUMPRODUCT((Details!$A$3:$A$102&gt;=J12)*(Details!$A$3:$A$102&lt;J12+7)*1,Details!$M$3:$M$102)</f>
        <v>4</v>
      </c>
      <c r="M12" cm="1">
        <f t="array" aca="1" ref="M12" ca="1">SUMPRODUCT((Details!$B$3:$B$102&gt;=J12)*(Details!$B$3:$B$102&lt;J12+7)*(Details!$B$3:$B$102&lt;&gt;""))</f>
        <v>1</v>
      </c>
      <c r="N12" cm="1">
        <f t="array" aca="1" ref="N12" ca="1">SUMPRODUCT((Details!$B$3:$B$102&gt;=J12)*(Details!$B$3:$B$102&lt;J12+7)*1,Details!$N$3:$N$102)</f>
        <v>2</v>
      </c>
    </row>
    <row r="13" spans="1:15" x14ac:dyDescent="0.3">
      <c r="D13" s="24" t="s">
        <v>247</v>
      </c>
      <c r="E13" s="25">
        <f>SUM(E7:E12)</f>
        <v>74</v>
      </c>
      <c r="F13" s="25">
        <f>SUM(F7:F12)</f>
        <v>35</v>
      </c>
      <c r="G13" s="25">
        <f>SUM(G7:G12)</f>
        <v>117.5</v>
      </c>
      <c r="H13" s="25">
        <f>SUM(H7:H12)</f>
        <v>32.5</v>
      </c>
      <c r="J13" s="18">
        <f t="shared" ca="1" si="0"/>
        <v>46174</v>
      </c>
      <c r="K13" cm="1">
        <f t="array" aca="1" ref="K13" ca="1">SUMPRODUCT((Details!$A$3:$A$102&gt;=J13)*(Details!$A$3:$A$102&lt;J13+7)*(Details!$A$3:$A$102&lt;&gt;""))</f>
        <v>5</v>
      </c>
      <c r="L13" cm="1">
        <f t="array" aca="1" ref="L13" ca="1">SUMPRODUCT((Details!$A$3:$A$102&gt;=J13)*(Details!$A$3:$A$102&lt;J13+7)*1,Details!$M$3:$M$102)</f>
        <v>8</v>
      </c>
      <c r="M13" cm="1">
        <f t="array" aca="1" ref="M13" ca="1">SUMPRODUCT((Details!$B$3:$B$102&gt;=J13)*(Details!$B$3:$B$102&lt;J13+7)*(Details!$B$3:$B$102&lt;&gt;""))</f>
        <v>0</v>
      </c>
      <c r="N13" cm="1">
        <f t="array" aca="1" ref="N13" ca="1">SUMPRODUCT((Details!$B$3:$B$102&gt;=J13)*(Details!$B$3:$B$102&lt;J13+7)*1,Details!$N$3:$N$102)</f>
        <v>0</v>
      </c>
    </row>
    <row r="14" spans="1:15" x14ac:dyDescent="0.3">
      <c r="J14" s="18">
        <f t="shared" ca="1" si="0"/>
        <v>46167</v>
      </c>
      <c r="K14" cm="1">
        <f t="array" aca="1" ref="K14" ca="1">SUMPRODUCT((Details!$A$3:$A$102&gt;=J14)*(Details!$A$3:$A$102&lt;J14+7)*(Details!$A$3:$A$102&lt;&gt;""))</f>
        <v>3</v>
      </c>
      <c r="L14" cm="1">
        <f t="array" aca="1" ref="L14" ca="1">SUMPRODUCT((Details!$A$3:$A$102&gt;=J14)*(Details!$A$3:$A$102&lt;J14+7)*1,Details!$M$3:$M$102)</f>
        <v>2.5</v>
      </c>
      <c r="M14" cm="1">
        <f t="array" aca="1" ref="M14" ca="1">SUMPRODUCT((Details!$B$3:$B$102&gt;=J14)*(Details!$B$3:$B$102&lt;J14+7)*(Details!$B$3:$B$102&lt;&gt;""))</f>
        <v>0</v>
      </c>
      <c r="N14" cm="1">
        <f t="array" aca="1" ref="N14" ca="1">SUMPRODUCT((Details!$B$3:$B$102&gt;=J14)*(Details!$B$3:$B$102&lt;J14+7)*1,Details!$N$3:$N$102)</f>
        <v>0</v>
      </c>
    </row>
    <row r="15" spans="1:15" ht="18" x14ac:dyDescent="0.35">
      <c r="A15" s="23" t="s">
        <v>248</v>
      </c>
      <c r="D15" s="23" t="s">
        <v>249</v>
      </c>
    </row>
    <row r="16" spans="1:15" ht="18" x14ac:dyDescent="0.35">
      <c r="A16" s="19" t="s">
        <v>233</v>
      </c>
      <c r="B16" s="19" t="s">
        <v>234</v>
      </c>
      <c r="D16" s="26" t="s">
        <v>250</v>
      </c>
      <c r="E16" s="26" t="s">
        <v>235</v>
      </c>
      <c r="F16" s="26" t="s">
        <v>237</v>
      </c>
      <c r="G16" s="26" t="s">
        <v>236</v>
      </c>
      <c r="H16" s="26" t="s">
        <v>238</v>
      </c>
      <c r="J16" s="33" t="s">
        <v>251</v>
      </c>
    </row>
    <row r="17" spans="1:14" x14ac:dyDescent="0.3">
      <c r="A17" t="s">
        <v>252</v>
      </c>
      <c r="B17">
        <f>COUNTA(Details!$C$3:$C$102)-COUNTIF(Details!$C$3:$C$102," ")</f>
        <v>75</v>
      </c>
      <c r="D17" s="44">
        <v>45962</v>
      </c>
      <c r="E17" cm="1">
        <f t="array" ref="E17">SUMPRODUCT((Details!$A$3:$A$102&gt;=DATE(2025,11,1))*(Details!$A$3:$A$102&lt;=DATE(2025,11,30))*(Details!$A$3:$A$102&lt;&gt;""))</f>
        <v>1</v>
      </c>
      <c r="F17" cm="1">
        <f t="array" ref="F17">SUMPRODUCT((Details!$A$3:$A$102&gt;=DATE(2025,11,1))*(Details!$A$3:$A$102&lt;=DATE(2025,11,30))*1,Details!$M$3:$M$102)</f>
        <v>6</v>
      </c>
      <c r="G17" cm="1">
        <f t="array" ref="G17">SUMPRODUCT((Details!$B$3:$B$102&gt;=DATE(2025,11,1))*(Details!$B$3:$B$102&lt;=DATE(2025,11,30))*(Details!$B$3:$B$102&lt;&gt;""))</f>
        <v>1</v>
      </c>
      <c r="H17" cm="1">
        <f t="array" ref="H17">SUMPRODUCT((Details!$B$3:$B$102&gt;=DATE(2025,11,1))*(Details!$B$3:$B$102&lt;=DATE(2025,11,30))*1,Details!$N$3:$N$102)</f>
        <v>2</v>
      </c>
      <c r="J17" s="34" t="s">
        <v>4</v>
      </c>
      <c r="K17" s="34" t="s">
        <v>21</v>
      </c>
      <c r="L17" s="34" t="s">
        <v>199</v>
      </c>
      <c r="M17" s="34" t="s">
        <v>200</v>
      </c>
      <c r="N17" s="34" t="s">
        <v>198</v>
      </c>
    </row>
    <row r="18" spans="1:14" x14ac:dyDescent="0.3">
      <c r="A18" t="s">
        <v>253</v>
      </c>
      <c r="B18">
        <f>SUM(Details!$M$3:$M$102)</f>
        <v>119.5</v>
      </c>
      <c r="D18" s="44">
        <v>45992</v>
      </c>
      <c r="E18" cm="1">
        <f t="array" ref="E18">SUMPRODUCT((Details!$A$3:$A$102&gt;=DATE(2025,12,1))*(Details!$A$3:$A$102&lt;=DATE(2025,12,31))*(Details!$A$3:$A$102&lt;&gt;""))</f>
        <v>0</v>
      </c>
      <c r="F18" cm="1">
        <f t="array" ref="F18">SUMPRODUCT((Details!$A$3:$A$102&gt;=DATE(2025,12,1))*(Details!$A$3:$A$102&lt;=DATE(2025,12,31))*1,Details!$M$3:$M$102)</f>
        <v>0</v>
      </c>
      <c r="G18" cm="1">
        <f t="array" ref="G18">SUMPRODUCT((Details!$B$3:$B$102&gt;=DATE(2025,12,1))*(Details!$B$3:$B$102&lt;=DATE(2025,12,31))*(Details!$B$3:$B$102&lt;&gt;""))</f>
        <v>0</v>
      </c>
      <c r="H18" cm="1">
        <f t="array" ref="H18">SUMPRODUCT((Details!$B$3:$B$102&gt;=DATE(2025,12,1))*(Details!$B$3:$B$102&lt;=DATE(2025,12,31))*1,Details!$N$3:$N$102)</f>
        <v>0</v>
      </c>
      <c r="J18" t="s">
        <v>17</v>
      </c>
      <c r="K18" cm="1">
        <f t="array" ref="K18">SUMPRODUCT((Details!$F$3:$F$102=J18)*(Details!$K$3:$K$102="Done"))</f>
        <v>4</v>
      </c>
      <c r="L18" cm="1">
        <f t="array" ref="L18">SUMPRODUCT((Details!$F$3:$F$102=J18)*(Details!$K$3:$K$102="Blocked"))</f>
        <v>0</v>
      </c>
      <c r="M18" cm="1">
        <f t="array" ref="M18">SUMPRODUCT((Details!$F$3:$F$102=J18)*(Details!$K$3:$K$102="Yet to Start"))</f>
        <v>0</v>
      </c>
      <c r="N18" cm="1">
        <f t="array" ref="N18">SUMPRODUCT((Details!$F$3:$F$102=J18)*(Details!$K$3:$K$102="In Progress"))</f>
        <v>0</v>
      </c>
    </row>
    <row r="19" spans="1:14" x14ac:dyDescent="0.3">
      <c r="A19" t="s">
        <v>254</v>
      </c>
      <c r="B19">
        <f>SUM(Details!$N$3:$N$102)</f>
        <v>48.5</v>
      </c>
      <c r="D19" s="44">
        <v>46023</v>
      </c>
      <c r="E19" cm="1">
        <f t="array" ref="E19">SUMPRODUCT((Details!$A$3:$A$102&gt;=DATE(2026,1,1))*(Details!$A$3:$A$102&lt;=DATE(2026,1,31))*(Details!$A$3:$A$102&lt;&gt;""))</f>
        <v>0</v>
      </c>
      <c r="F19" cm="1">
        <f t="array" ref="F19">SUMPRODUCT((Details!$A$3:$A$102&gt;=DATE(2026,1,1))*(Details!$A$3:$A$102&lt;=DATE(2026,1,31))*1,Details!$M$3:$M$102)</f>
        <v>0</v>
      </c>
      <c r="G19" cm="1">
        <f t="array" ref="G19">SUMPRODUCT((Details!$B$3:$B$102&gt;=DATE(2026,1,1))*(Details!$B$3:$B$102&lt;=DATE(2026,1,31))*(Details!$B$3:$B$102&lt;&gt;""))</f>
        <v>0</v>
      </c>
      <c r="H19" cm="1">
        <f t="array" ref="H19">SUMPRODUCT((Details!$B$3:$B$102&gt;=DATE(2026,1,1))*(Details!$B$3:$B$102&lt;=DATE(2026,1,31))*1,Details!$N$3:$N$102)</f>
        <v>0</v>
      </c>
      <c r="J19" t="s">
        <v>37</v>
      </c>
      <c r="K19" cm="1">
        <f t="array" ref="K19">SUMPRODUCT((Details!$F$3:$F$102=J19)*(Details!$K$3:$K$102="Done"))</f>
        <v>4</v>
      </c>
      <c r="L19" cm="1">
        <f t="array" ref="L19">SUMPRODUCT((Details!$F$3:$F$102=J19)*(Details!$K$3:$K$102="Blocked"))</f>
        <v>0</v>
      </c>
      <c r="M19" cm="1">
        <f t="array" ref="M19">SUMPRODUCT((Details!$F$3:$F$102=J19)*(Details!$K$3:$K$102="Yet to Start"))</f>
        <v>0</v>
      </c>
      <c r="N19" cm="1">
        <f t="array" ref="N19">SUMPRODUCT((Details!$F$3:$F$102=J19)*(Details!$K$3:$K$102="In Progress"))</f>
        <v>0</v>
      </c>
    </row>
    <row r="20" spans="1:14" x14ac:dyDescent="0.3">
      <c r="A20" t="s">
        <v>255</v>
      </c>
      <c r="B20">
        <f>COUNTIF(Details!$K$3:$K$102,"Done")</f>
        <v>69</v>
      </c>
      <c r="D20" s="44">
        <v>46054</v>
      </c>
      <c r="E20" cm="1">
        <f t="array" ref="E20">SUMPRODUCT((Details!$A$3:$A$102&gt;=DATE(2026,2,1))*(Details!$A$3:$A$102&lt;=DATE(2026,2,28))*(Details!$A$3:$A$102&lt;&gt;""))</f>
        <v>4</v>
      </c>
      <c r="F20" cm="1">
        <f t="array" ref="F20">SUMPRODUCT((Details!$A$3:$A$102&gt;=DATE(2026,2,1))*(Details!$A$3:$A$102&lt;=DATE(2026,2,28))*1,Details!$M$3:$M$102)</f>
        <v>5.5</v>
      </c>
      <c r="G20" cm="1">
        <f t="array" ref="G20">SUMPRODUCT((Details!$B$3:$B$102&gt;=DATE(2026,2,1))*(Details!$B$3:$B$102&lt;=DATE(2026,2,28))*(Details!$B$3:$B$102&lt;&gt;""))</f>
        <v>0</v>
      </c>
      <c r="H20" cm="1">
        <f t="array" ref="H20">SUMPRODUCT((Details!$B$3:$B$102&gt;=DATE(2026,2,1))*(Details!$B$3:$B$102&lt;=DATE(2026,2,28))*1,Details!$N$3:$N$102)</f>
        <v>0</v>
      </c>
      <c r="J20" t="s">
        <v>34</v>
      </c>
      <c r="K20" cm="1">
        <f t="array" ref="K20">SUMPRODUCT((Details!$F$3:$F$102=J20)*(Details!$K$3:$K$102="Done"))</f>
        <v>25</v>
      </c>
      <c r="L20" cm="1">
        <f t="array" ref="L20">SUMPRODUCT((Details!$F$3:$F$102=J20)*(Details!$K$3:$K$102="Blocked"))</f>
        <v>0</v>
      </c>
      <c r="M20" cm="1">
        <f t="array" ref="M20">SUMPRODUCT((Details!$F$3:$F$102=J20)*(Details!$K$3:$K$102="Yet to Start"))</f>
        <v>0</v>
      </c>
      <c r="N20" cm="1">
        <f t="array" ref="N20">SUMPRODUCT((Details!$F$3:$F$102=J20)*(Details!$K$3:$K$102="In Progress"))</f>
        <v>0</v>
      </c>
    </row>
    <row r="21" spans="1:14" x14ac:dyDescent="0.3">
      <c r="A21" t="s">
        <v>246</v>
      </c>
      <c r="B21">
        <f>COUNTIF(Details!$K$3:$K$102,"Blocked")</f>
        <v>0</v>
      </c>
      <c r="D21" s="44">
        <v>46082</v>
      </c>
      <c r="E21" cm="1">
        <f t="array" ref="E21">SUMPRODUCT((Details!$A$3:$A$102&gt;=DATE(2026,3,1))*(Details!$A$3:$A$102&lt;=DATE(2026,3,31))*(Details!$A$3:$A$102&lt;&gt;""))</f>
        <v>8</v>
      </c>
      <c r="F21" cm="1">
        <f t="array" ref="F21">SUMPRODUCT((Details!$A$3:$A$102&gt;=DATE(2026,3,1))*(Details!$A$3:$A$102&lt;=DATE(2026,3,31))*1,Details!$M$3:$M$102)</f>
        <v>16</v>
      </c>
      <c r="G21" cm="1">
        <f t="array" ref="G21">SUMPRODUCT((Details!$B$3:$B$102&gt;=DATE(2026,3,1))*(Details!$B$3:$B$102&lt;=DATE(2026,3,31))*(Details!$B$3:$B$102&lt;&gt;""))</f>
        <v>2</v>
      </c>
      <c r="H21" cm="1">
        <f t="array" ref="H21">SUMPRODUCT((Details!$B$3:$B$102&gt;=DATE(2026,3,1))*(Details!$B$3:$B$102&lt;=DATE(2026,3,31))*1,Details!$N$3:$N$102)</f>
        <v>3</v>
      </c>
      <c r="J21" t="s">
        <v>52</v>
      </c>
      <c r="K21" cm="1">
        <f t="array" ref="K21">SUMPRODUCT((Details!$F$3:$F$102=J21)*(Details!$K$3:$K$102="Done"))</f>
        <v>17</v>
      </c>
      <c r="L21" cm="1">
        <f t="array" ref="L21">SUMPRODUCT((Details!$F$3:$F$102=J21)*(Details!$K$3:$K$102="Blocked"))</f>
        <v>0</v>
      </c>
      <c r="M21" cm="1">
        <f t="array" ref="M21">SUMPRODUCT((Details!$F$3:$F$102=J21)*(Details!$K$3:$K$102="Yet to Start"))</f>
        <v>0</v>
      </c>
      <c r="N21" cm="1">
        <f t="array" ref="N21">SUMPRODUCT((Details!$F$3:$F$102=J21)*(Details!$K$3:$K$102="In Progress"))</f>
        <v>0</v>
      </c>
    </row>
    <row r="22" spans="1:14" x14ac:dyDescent="0.3">
      <c r="A22" t="s">
        <v>256</v>
      </c>
      <c r="B22">
        <f>COUNTIF(Details!$K$3:$K$102,"Yet to Start")</f>
        <v>0</v>
      </c>
      <c r="D22" s="44">
        <v>46113</v>
      </c>
      <c r="E22" cm="1">
        <f t="array" ref="E22">SUMPRODUCT((Details!$A$3:$A$102&gt;=DATE(2026,4,1))*(Details!$A$3:$A$102&lt;=DATE(2026,4,30))*(Details!$A$3:$A$102&lt;&gt;""))</f>
        <v>10</v>
      </c>
      <c r="F22" cm="1">
        <f t="array" ref="F22">SUMPRODUCT((Details!$A$3:$A$102&gt;=DATE(2026,4,1))*(Details!$A$3:$A$102&lt;=DATE(2026,4,30))*1,Details!$M$3:$M$102)</f>
        <v>29.5</v>
      </c>
      <c r="G22" cm="1">
        <f t="array" ref="G22">SUMPRODUCT((Details!$B$3:$B$102&gt;=DATE(2026,4,1))*(Details!$B$3:$B$102&lt;=DATE(2026,4,30))*(Details!$B$3:$B$102&lt;&gt;""))</f>
        <v>4</v>
      </c>
      <c r="H22" cm="1">
        <f t="array" ref="H22">SUMPRODUCT((Details!$B$3:$B$102&gt;=DATE(2026,4,1))*(Details!$B$3:$B$102&lt;=DATE(2026,4,30))*1,Details!$N$3:$N$102)</f>
        <v>6</v>
      </c>
      <c r="J22" t="s">
        <v>43</v>
      </c>
      <c r="K22" cm="1">
        <f t="array" ref="K22">SUMPRODUCT((Details!$F$3:$F$102=J22)*(Details!$K$3:$K$102="Done"))</f>
        <v>15</v>
      </c>
      <c r="L22" cm="1">
        <f t="array" ref="L22">SUMPRODUCT((Details!$F$3:$F$102=J22)*(Details!$K$3:$K$102="Blocked"))</f>
        <v>0</v>
      </c>
      <c r="M22" cm="1">
        <f t="array" ref="M22">SUMPRODUCT((Details!$F$3:$F$102=J22)*(Details!$K$3:$K$102="Yet to Start"))</f>
        <v>0</v>
      </c>
      <c r="N22" cm="1">
        <f t="array" ref="N22">SUMPRODUCT((Details!$F$3:$F$102=J22)*(Details!$K$3:$K$102="In Progress"))</f>
        <v>0</v>
      </c>
    </row>
    <row r="23" spans="1:14" x14ac:dyDescent="0.3">
      <c r="A23" t="s">
        <v>257</v>
      </c>
      <c r="B23">
        <f>COUNTIF(Details!$E$3:$E$102,"VPN")</f>
        <v>38</v>
      </c>
      <c r="D23" s="44">
        <v>46143</v>
      </c>
      <c r="E23" cm="1">
        <f t="array" ref="E23">SUMPRODUCT((Details!$A$3:$A$102&gt;=DATE(2026,5,1))*(Details!$A$3:$A$102&lt;=DATE(2026,5,31))*(Details!$A$3:$A$102&lt;&gt;""))</f>
        <v>15</v>
      </c>
      <c r="F23" cm="1">
        <f t="array" ref="F23">SUMPRODUCT((Details!$A$3:$A$102&gt;=DATE(2026,5,1))*(Details!$A$3:$A$102&lt;=DATE(2026,5,31))*1,Details!$M$3:$M$102)</f>
        <v>12</v>
      </c>
      <c r="G23" cm="1">
        <f t="array" ref="G23">SUMPRODUCT((Details!$B$3:$B$102&gt;=DATE(2026,5,1))*(Details!$B$3:$B$102&lt;=DATE(2026,5,31))*(Details!$B$3:$B$102&lt;&gt;""))</f>
        <v>0</v>
      </c>
      <c r="H23" cm="1">
        <f t="array" ref="H23">SUMPRODUCT((Details!$B$3:$B$102&gt;=DATE(2026,5,1))*(Details!$B$3:$B$102&lt;=DATE(2026,5,31))*1,Details!$N$3:$N$102)</f>
        <v>0</v>
      </c>
      <c r="J23" t="s">
        <v>40</v>
      </c>
      <c r="K23" cm="1">
        <f t="array" ref="K23">SUMPRODUCT((Details!$F$3:$F$102=J23)*(Details!$K$3:$K$102="Done"))</f>
        <v>3</v>
      </c>
      <c r="L23" cm="1">
        <f t="array" ref="L23">SUMPRODUCT((Details!$F$3:$F$102=J23)*(Details!$K$3:$K$102="Blocked"))</f>
        <v>0</v>
      </c>
      <c r="M23" cm="1">
        <f t="array" ref="M23">SUMPRODUCT((Details!$F$3:$F$102=J23)*(Details!$K$3:$K$102="Yet to Start"))</f>
        <v>0</v>
      </c>
      <c r="N23" cm="1">
        <f t="array" ref="N23">SUMPRODUCT((Details!$F$3:$F$102=J23)*(Details!$K$3:$K$102="In Progress"))</f>
        <v>0</v>
      </c>
    </row>
    <row r="24" spans="1:14" x14ac:dyDescent="0.3">
      <c r="A24" t="s">
        <v>258</v>
      </c>
      <c r="B24">
        <f>COUNTIF(Details!$E$3:$E$102,"Screen Share")</f>
        <v>30</v>
      </c>
      <c r="D24" s="44">
        <v>46174</v>
      </c>
      <c r="E24" cm="1">
        <f t="array" ref="E24">SUMPRODUCT((Details!$A$3:$A$102&gt;=DATE(2026,6,1))*(Details!$A$3:$A$102&lt;=DATE(2026,6,30))*(Details!$A$3:$A$102&lt;&gt;""))</f>
        <v>21</v>
      </c>
      <c r="F24" cm="1">
        <f t="array" ref="F24">SUMPRODUCT((Details!$A$3:$A$102&gt;=DATE(2026,6,1))*(Details!$A$3:$A$102&lt;=DATE(2026,6,30))*1,Details!$M$3:$M$102)</f>
        <v>26.5</v>
      </c>
      <c r="G24" cm="1">
        <f t="array" ref="G24">SUMPRODUCT((Details!$B$3:$B$102&gt;=DATE(2026,6,1))*(Details!$B$3:$B$102&lt;=DATE(2026,6,30))*(Details!$B$3:$B$102&lt;&gt;""))</f>
        <v>2</v>
      </c>
      <c r="H24" cm="1">
        <f t="array" ref="H24">SUMPRODUCT((Details!$B$3:$B$102&gt;=DATE(2026,6,1))*(Details!$B$3:$B$102&lt;=DATE(2026,6,30))*1,Details!$N$3:$N$102)</f>
        <v>2</v>
      </c>
      <c r="J24" s="20" t="s">
        <v>247</v>
      </c>
      <c r="K24" s="35">
        <f>SUM(K18:K23)</f>
        <v>68</v>
      </c>
      <c r="L24" s="35">
        <f>SUM(L18:L23)</f>
        <v>0</v>
      </c>
      <c r="M24" s="35">
        <f>SUM(M18:M23)</f>
        <v>0</v>
      </c>
      <c r="N24" s="35">
        <f>SUM(N18:N23)</f>
        <v>0</v>
      </c>
    </row>
    <row r="27" spans="1:14" ht="18" x14ac:dyDescent="0.35">
      <c r="A27" s="23" t="s">
        <v>259</v>
      </c>
      <c r="H27" s="23" t="s">
        <v>260</v>
      </c>
    </row>
    <row r="28" spans="1:14" x14ac:dyDescent="0.3">
      <c r="A28" s="29" t="s">
        <v>4</v>
      </c>
      <c r="B28" s="30">
        <f ca="1">TODAY()-WEEKDAY(TODAY(),2)+1</f>
        <v>46216</v>
      </c>
      <c r="C28" s="30">
        <f ca="1">B28-7</f>
        <v>46209</v>
      </c>
      <c r="D28" s="30">
        <f ca="1">C28-7</f>
        <v>46202</v>
      </c>
      <c r="E28" s="30">
        <f ca="1">D28-7</f>
        <v>46195</v>
      </c>
      <c r="F28" s="29" t="s">
        <v>261</v>
      </c>
      <c r="H28" s="36" t="s">
        <v>4</v>
      </c>
      <c r="I28" s="37">
        <f ca="1">$B$28</f>
        <v>46216</v>
      </c>
      <c r="J28" s="37">
        <f ca="1">$C$28</f>
        <v>46209</v>
      </c>
      <c r="K28" s="37">
        <f ca="1">$D$28</f>
        <v>46202</v>
      </c>
      <c r="L28" s="37">
        <f ca="1">$E$28</f>
        <v>46195</v>
      </c>
      <c r="M28" s="36" t="s">
        <v>262</v>
      </c>
    </row>
    <row r="29" spans="1:14" x14ac:dyDescent="0.3">
      <c r="A29" t="s">
        <v>17</v>
      </c>
      <c r="B29" cm="1">
        <f t="array" aca="1" ref="B29" ca="1">SUMPRODUCT((Details!$A$3:$A$102&gt;=$B$28)*(Details!$A$3:$A$102&lt;$B$28+7)*(Details!$F$3:$F$102=A29))</f>
        <v>0</v>
      </c>
      <c r="C29" cm="1">
        <f t="array" aca="1" ref="C29" ca="1">SUMPRODUCT((Details!$A$3:$A$102&gt;=$C$28)*(Details!$A$3:$A$102&lt;$C$28+7)*(Details!$F$3:$F$102=A29))</f>
        <v>0</v>
      </c>
      <c r="D29" cm="1">
        <f t="array" aca="1" ref="D29" ca="1">SUMPRODUCT((Details!$A$3:$A$102&gt;=$D$28)*(Details!$A$3:$A$102&lt;$D$28+7)*(Details!$F$3:$F$102=A29))</f>
        <v>0</v>
      </c>
      <c r="E29" cm="1">
        <f t="array" aca="1" ref="E29" ca="1">SUMPRODUCT((Details!$A$3:$A$102&gt;=$E$28)*(Details!$A$3:$A$102&lt;$E$28+7)*(Details!$F$3:$F$102=A29))</f>
        <v>0</v>
      </c>
      <c r="F29">
        <f t="shared" ref="F29:F34" ca="1" si="1">SUM(B29:E29)</f>
        <v>0</v>
      </c>
      <c r="H29" t="s">
        <v>17</v>
      </c>
      <c r="I29">
        <f ca="1">SUMIFS(Details!$M$3:$M$102,Details!$A$3:$A$102,"&gt;="&amp;$B28,Details!$A$3:$A$102,"&lt;"&amp;$B28+7,Details!$F$3:$F$102,"Jabali")</f>
        <v>0</v>
      </c>
      <c r="J29">
        <f ca="1">SUMIFS(Details!$M$3:$M$102,Details!$A$3:$A$102,"&gt;="&amp;$C28,Details!$A$3:$A$102,"&lt;"&amp;$C28+7,Details!$F$3:$F$102,"Jabali")</f>
        <v>0</v>
      </c>
      <c r="K29">
        <f ca="1">SUMIFS(Details!$M$3:$M$102,Details!$A$3:$A$102,"&gt;="&amp;$D28,Details!$A$3:$A$102,"&lt;"&amp;$D28+7,Details!$F$3:$F$102,"Jabali")</f>
        <v>0</v>
      </c>
      <c r="L29">
        <f ca="1">SUMIFS(Details!$M$3:$M$102,Details!$A$3:$A$102,"&gt;="&amp;$E28,Details!$A$3:$A$102,"&lt;"&amp;$E28+7,Details!$F$3:$F$102,"Jabali")</f>
        <v>0</v>
      </c>
      <c r="M29">
        <f t="shared" ref="M29:M35" ca="1" si="2">SUM(I29:L29)</f>
        <v>0</v>
      </c>
    </row>
    <row r="30" spans="1:14" x14ac:dyDescent="0.3">
      <c r="A30" t="s">
        <v>37</v>
      </c>
      <c r="B30" cm="1">
        <f t="array" aca="1" ref="B30" ca="1">SUMPRODUCT((Details!$A$3:$A$102&gt;=$B$28)*(Details!$A$3:$A$102&lt;$B$28+7)*(Details!$F$3:$F$102=A30))</f>
        <v>0</v>
      </c>
      <c r="C30" cm="1">
        <f t="array" aca="1" ref="C30" ca="1">SUMPRODUCT((Details!$A$3:$A$102&gt;=$C$28)*(Details!$A$3:$A$102&lt;$C$28+7)*(Details!$F$3:$F$102=A30))</f>
        <v>0</v>
      </c>
      <c r="D30" cm="1">
        <f t="array" aca="1" ref="D30" ca="1">SUMPRODUCT((Details!$A$3:$A$102&gt;=$D$28)*(Details!$A$3:$A$102&lt;$D$28+7)*(Details!$F$3:$F$102=A30))</f>
        <v>0</v>
      </c>
      <c r="E30" cm="1">
        <f t="array" aca="1" ref="E30" ca="1">SUMPRODUCT((Details!$A$3:$A$102&gt;=$E$28)*(Details!$A$3:$A$102&lt;$E$28+7)*(Details!$F$3:$F$102=A30))</f>
        <v>0</v>
      </c>
      <c r="F30">
        <f t="shared" ca="1" si="1"/>
        <v>0</v>
      </c>
      <c r="H30" t="s">
        <v>37</v>
      </c>
      <c r="I30">
        <f ca="1">SUMIFS(Details!$M$3:$M$102,Details!$A$3:$A$102,"&gt;="&amp;$B28,Details!$A$3:$A$102,"&lt;"&amp;$B28+7,Details!$F$3:$F$102,"DJ")</f>
        <v>0</v>
      </c>
      <c r="J30">
        <f ca="1">SUMIFS(Details!$M$3:$M$102,Details!$A$3:$A$102,"&gt;="&amp;$C28,Details!$A$3:$A$102,"&lt;"&amp;$C28+7,Details!$F$3:$F$102,"DJ")</f>
        <v>0</v>
      </c>
      <c r="K30">
        <f ca="1">SUMIFS(Details!$M$3:$M$102,Details!$A$3:$A$102,"&gt;="&amp;$D28,Details!$A$3:$A$102,"&lt;"&amp;$D28+7,Details!$F$3:$F$102,"DJ")</f>
        <v>0</v>
      </c>
      <c r="L30">
        <f ca="1">SUMIFS(Details!$M$3:$M$102,Details!$A$3:$A$102,"&gt;="&amp;$E28,Details!$A$3:$A$102,"&lt;"&amp;$E28+7,Details!$F$3:$F$102,"DJ")</f>
        <v>0</v>
      </c>
      <c r="M30">
        <f t="shared" ca="1" si="2"/>
        <v>0</v>
      </c>
    </row>
    <row r="31" spans="1:14" x14ac:dyDescent="0.3">
      <c r="A31" t="s">
        <v>34</v>
      </c>
      <c r="B31" cm="1">
        <f t="array" aca="1" ref="B31" ca="1">SUMPRODUCT((Details!$A$3:$A$102&gt;=$B$28)*(Details!$A$3:$A$102&lt;$B$28+7)*(Details!$F$3:$F$102=A31))</f>
        <v>0</v>
      </c>
      <c r="C31" cm="1">
        <f t="array" aca="1" ref="C31" ca="1">SUMPRODUCT((Details!$A$3:$A$102&gt;=$C$28)*(Details!$A$3:$A$102&lt;$C$28+7)*(Details!$F$3:$F$102=A31))</f>
        <v>3</v>
      </c>
      <c r="D31" cm="1">
        <f t="array" aca="1" ref="D31" ca="1">SUMPRODUCT((Details!$A$3:$A$102&gt;=$D$28)*(Details!$A$3:$A$102&lt;$D$28+7)*(Details!$F$3:$F$102=A31))</f>
        <v>1</v>
      </c>
      <c r="E31" cm="1">
        <f t="array" aca="1" ref="E31" ca="1">SUMPRODUCT((Details!$A$3:$A$102&gt;=$E$28)*(Details!$A$3:$A$102&lt;$E$28+7)*(Details!$F$3:$F$102=A31))</f>
        <v>5</v>
      </c>
      <c r="F31">
        <f t="shared" ca="1" si="1"/>
        <v>9</v>
      </c>
      <c r="H31" t="s">
        <v>34</v>
      </c>
      <c r="I31">
        <f ca="1">SUMIFS(Details!$M$3:$M$102,Details!$A$3:$A$102,"&gt;="&amp;$B28,Details!$A$3:$A$102,"&lt;"&amp;$B28+7,Details!$F$3:$F$102,"Suraj")</f>
        <v>0</v>
      </c>
      <c r="J31">
        <f ca="1">SUMIFS(Details!$M$3:$M$102,Details!$A$3:$A$102,"&gt;="&amp;$C28,Details!$A$3:$A$102,"&lt;"&amp;$C28+7,Details!$F$3:$F$102,"Suraj")</f>
        <v>4</v>
      </c>
      <c r="K31">
        <f ca="1">SUMIFS(Details!$M$3:$M$102,Details!$A$3:$A$102,"&gt;="&amp;$D28,Details!$A$3:$A$102,"&lt;"&amp;$D28+7,Details!$F$3:$F$102,"Suraj")</f>
        <v>1</v>
      </c>
      <c r="L31">
        <f ca="1">SUMIFS(Details!$M$3:$M$102,Details!$A$3:$A$102,"&gt;="&amp;$E28,Details!$A$3:$A$102,"&lt;"&amp;$E28+7,Details!$F$3:$F$102,"Suraj")</f>
        <v>3</v>
      </c>
      <c r="M31">
        <f t="shared" ca="1" si="2"/>
        <v>8</v>
      </c>
    </row>
    <row r="32" spans="1:14" x14ac:dyDescent="0.3">
      <c r="A32" t="s">
        <v>52</v>
      </c>
      <c r="B32" cm="1">
        <f t="array" aca="1" ref="B32" ca="1">SUMPRODUCT((Details!$A$3:$A$102&gt;=$B$28)*(Details!$A$3:$A$102&lt;$B$28+7)*(Details!$F$3:$F$102=A32))</f>
        <v>0</v>
      </c>
      <c r="C32" cm="1">
        <f t="array" aca="1" ref="C32" ca="1">SUMPRODUCT((Details!$A$3:$A$102&gt;=$C$28)*(Details!$A$3:$A$102&lt;$C$28+7)*(Details!$F$3:$F$102=A32))</f>
        <v>0</v>
      </c>
      <c r="D32" cm="1">
        <f t="array" aca="1" ref="D32" ca="1">SUMPRODUCT((Details!$A$3:$A$102&gt;=$D$28)*(Details!$A$3:$A$102&lt;$D$28+7)*(Details!$F$3:$F$102=A32))</f>
        <v>0</v>
      </c>
      <c r="E32" cm="1">
        <f t="array" aca="1" ref="E32" ca="1">SUMPRODUCT((Details!$A$3:$A$102&gt;=$E$28)*(Details!$A$3:$A$102&lt;$E$28+7)*(Details!$F$3:$F$102=A32))</f>
        <v>2</v>
      </c>
      <c r="F32">
        <f t="shared" ca="1" si="1"/>
        <v>2</v>
      </c>
      <c r="H32" t="s">
        <v>52</v>
      </c>
      <c r="I32">
        <f ca="1">SUMIFS(Details!$M$3:$M$102,Details!$A$3:$A$102,"&gt;="&amp;$B28,Details!$A$3:$A$102,"&lt;"&amp;$B28+7,Details!$F$3:$F$102,"Pransshu")</f>
        <v>0</v>
      </c>
      <c r="J32">
        <f ca="1">SUMIFS(Details!$M$3:$M$102,Details!$A$3:$A$102,"&gt;="&amp;$C28,Details!$A$3:$A$102,"&lt;"&amp;$C28+7,Details!$F$3:$F$102,"Pransshu")</f>
        <v>0</v>
      </c>
      <c r="K32">
        <f ca="1">SUMIFS(Details!$M$3:$M$102,Details!$A$3:$A$102,"&gt;="&amp;$D28,Details!$A$3:$A$102,"&lt;"&amp;$D28+7,Details!$F$3:$F$102,"Pransshu")</f>
        <v>0</v>
      </c>
      <c r="L32">
        <f ca="1">SUMIFS(Details!$M$3:$M$102,Details!$A$3:$A$102,"&gt;="&amp;$E28,Details!$A$3:$A$102,"&lt;"&amp;$E28+7,Details!$F$3:$F$102,"Pransshu")</f>
        <v>1.5</v>
      </c>
      <c r="M32">
        <f t="shared" ca="1" si="2"/>
        <v>1.5</v>
      </c>
    </row>
    <row r="33" spans="1:13" x14ac:dyDescent="0.3">
      <c r="A33" t="s">
        <v>43</v>
      </c>
      <c r="B33" cm="1">
        <f t="array" aca="1" ref="B33" ca="1">SUMPRODUCT((Details!$A$3:$A$102&gt;=$B$28)*(Details!$A$3:$A$102&lt;$B$28+7)*(Details!$F$3:$F$102=A33))</f>
        <v>0</v>
      </c>
      <c r="C33" cm="1">
        <f t="array" aca="1" ref="C33" ca="1">SUMPRODUCT((Details!$A$3:$A$102&gt;=$C$28)*(Details!$A$3:$A$102&lt;$C$28+7)*(Details!$F$3:$F$102=A33))</f>
        <v>0</v>
      </c>
      <c r="D33" cm="1">
        <f t="array" aca="1" ref="D33" ca="1">SUMPRODUCT((Details!$A$3:$A$102&gt;=$D$28)*(Details!$A$3:$A$102&lt;$D$28+7)*(Details!$F$3:$F$102=A33))</f>
        <v>0</v>
      </c>
      <c r="E33" cm="1">
        <f t="array" aca="1" ref="E33" ca="1">SUMPRODUCT((Details!$A$3:$A$102&gt;=$E$28)*(Details!$A$3:$A$102&lt;$E$28+7)*(Details!$F$3:$F$102=A33))</f>
        <v>0</v>
      </c>
      <c r="F33">
        <f t="shared" ca="1" si="1"/>
        <v>0</v>
      </c>
      <c r="H33" t="s">
        <v>43</v>
      </c>
      <c r="I33">
        <f ca="1">SUMIFS(Details!$M$3:$M$102,Details!$A$3:$A$102,"&gt;="&amp;$B28,Details!$A$3:$A$102,"&lt;"&amp;$B28+7,Details!$F$3:$F$102,"Sanjana")</f>
        <v>0</v>
      </c>
      <c r="J33">
        <f ca="1">SUMIFS(Details!$M$3:$M$102,Details!$A$3:$A$102,"&gt;="&amp;$C28,Details!$A$3:$A$102,"&lt;"&amp;$C28+7,Details!$F$3:$F$102,"Sanjana")</f>
        <v>0</v>
      </c>
      <c r="K33">
        <f ca="1">SUMIFS(Details!$M$3:$M$102,Details!$A$3:$A$102,"&gt;="&amp;$D28,Details!$A$3:$A$102,"&lt;"&amp;$D28+7,Details!$F$3:$F$102,"Sanjana")</f>
        <v>0</v>
      </c>
      <c r="L33">
        <f ca="1">SUMIFS(Details!$M$3:$M$102,Details!$A$3:$A$102,"&gt;="&amp;$E28,Details!$A$3:$A$102,"&lt;"&amp;$E28+7,Details!$F$3:$F$102,"Sanjana")</f>
        <v>0</v>
      </c>
      <c r="M33">
        <f t="shared" ca="1" si="2"/>
        <v>0</v>
      </c>
    </row>
    <row r="34" spans="1:13" x14ac:dyDescent="0.3">
      <c r="A34" t="s">
        <v>40</v>
      </c>
      <c r="B34" cm="1">
        <f t="array" aca="1" ref="B34" ca="1">SUMPRODUCT((Details!$A$3:$A$102&gt;=$B$28)*(Details!$A$3:$A$102&lt;$B$28+7)*(Details!$F$3:$F$102=A34))</f>
        <v>0</v>
      </c>
      <c r="C34" cm="1">
        <f t="array" aca="1" ref="C34" ca="1">SUMPRODUCT((Details!$A$3:$A$102&gt;=$C$28)*(Details!$A$3:$A$102&lt;$C$28+7)*(Details!$F$3:$F$102=A34))</f>
        <v>0</v>
      </c>
      <c r="D34" cm="1">
        <f t="array" aca="1" ref="D34" ca="1">SUMPRODUCT((Details!$A$3:$A$102&gt;=$D$28)*(Details!$A$3:$A$102&lt;$D$28+7)*(Details!$F$3:$F$102=A34))</f>
        <v>0</v>
      </c>
      <c r="E34" cm="1">
        <f t="array" aca="1" ref="E34" ca="1">SUMPRODUCT((Details!$A$3:$A$102&gt;=$E$28)*(Details!$A$3:$A$102&lt;$E$28+7)*(Details!$F$3:$F$102=A34))</f>
        <v>0</v>
      </c>
      <c r="F34">
        <f t="shared" ca="1" si="1"/>
        <v>0</v>
      </c>
      <c r="H34" t="s">
        <v>40</v>
      </c>
      <c r="I34">
        <f ca="1">SUMIFS(Details!$M$3:$M$102,Details!$A$3:$A$102,"&gt;="&amp;$B28,Details!$A$3:$A$102,"&lt;"&amp;$B28+7,Details!$F$3:$F$102,"Ashish")</f>
        <v>0</v>
      </c>
      <c r="J34">
        <f ca="1">SUMIFS(Details!$M$3:$M$102,Details!$A$3:$A$102,"&gt;="&amp;$C28,Details!$A$3:$A$102,"&lt;"&amp;$C28+7,Details!$F$3:$F$102,"Ashish")</f>
        <v>0</v>
      </c>
      <c r="K34">
        <f ca="1">SUMIFS(Details!$M$3:$M$102,Details!$A$3:$A$102,"&gt;="&amp;$D28,Details!$A$3:$A$102,"&lt;"&amp;$D28+7,Details!$F$3:$F$102,"Ashish")</f>
        <v>0</v>
      </c>
      <c r="L34">
        <f ca="1">SUMIFS(Details!$M$3:$M$102,Details!$A$3:$A$102,"&gt;="&amp;$E28,Details!$A$3:$A$102,"&lt;"&amp;$E28+7,Details!$F$3:$F$102,"Ashish")</f>
        <v>0</v>
      </c>
      <c r="M34">
        <f t="shared" ca="1" si="2"/>
        <v>0</v>
      </c>
    </row>
    <row r="35" spans="1:13" x14ac:dyDescent="0.3">
      <c r="A35" s="31" t="s">
        <v>247</v>
      </c>
      <c r="B35" s="32">
        <f ca="1">SUM(B29:B34)</f>
        <v>0</v>
      </c>
      <c r="C35" s="32">
        <f ca="1">SUM(C29:C34)</f>
        <v>3</v>
      </c>
      <c r="D35" s="32">
        <f ca="1">SUM(D29:D34)</f>
        <v>1</v>
      </c>
      <c r="E35" s="32">
        <f ca="1">SUM(E29:E34)</f>
        <v>7</v>
      </c>
      <c r="F35" s="32">
        <f ca="1">SUM(F29:F34)</f>
        <v>11</v>
      </c>
      <c r="H35" s="38" t="s">
        <v>247</v>
      </c>
      <c r="I35" s="39">
        <f ca="1">SUM(I29:I34)</f>
        <v>0</v>
      </c>
      <c r="J35" s="39">
        <f ca="1">SUM(J29:J34)</f>
        <v>4</v>
      </c>
      <c r="K35" s="39">
        <f ca="1">SUM(K29:K34)</f>
        <v>1</v>
      </c>
      <c r="L35" s="39">
        <f ca="1">SUM(L29:L34)</f>
        <v>4.5</v>
      </c>
      <c r="M35" s="39">
        <f t="shared" ca="1" si="2"/>
        <v>9.5</v>
      </c>
    </row>
    <row r="38" spans="1:13" ht="18" x14ac:dyDescent="0.35">
      <c r="A38" s="23" t="s">
        <v>263</v>
      </c>
      <c r="F38" s="23" t="s">
        <v>264</v>
      </c>
    </row>
    <row r="39" spans="1:13" x14ac:dyDescent="0.3">
      <c r="A39" s="40" t="s">
        <v>4</v>
      </c>
      <c r="B39" s="40" t="s">
        <v>257</v>
      </c>
      <c r="C39" s="40" t="s">
        <v>258</v>
      </c>
      <c r="D39" s="40" t="s">
        <v>261</v>
      </c>
      <c r="F39" s="43" t="s">
        <v>233</v>
      </c>
      <c r="G39" s="43" t="s">
        <v>234</v>
      </c>
    </row>
    <row r="40" spans="1:13" x14ac:dyDescent="0.3">
      <c r="A40" t="s">
        <v>17</v>
      </c>
      <c r="B40" cm="1">
        <f t="array" ref="B40">SUMPRODUCT((Details!$F$3:$F$102=A40)*(Details!$E$3:$E$102="VPN"))</f>
        <v>2</v>
      </c>
      <c r="C40" cm="1">
        <f t="array" ref="C40">SUMPRODUCT((Details!$F$3:$F$102=A40)*(Details!$E$3:$E$102="Screen Share"))</f>
        <v>1</v>
      </c>
      <c r="D40">
        <f t="shared" ref="D40:D45" si="3">B40+C40</f>
        <v>3</v>
      </c>
      <c r="F40" t="s">
        <v>265</v>
      </c>
      <c r="G40" t="str">
        <f ca="1">TEXT(TODAY(),"MMMM YYYY")</f>
        <v>July 2026</v>
      </c>
    </row>
    <row r="41" spans="1:13" x14ac:dyDescent="0.3">
      <c r="A41" t="s">
        <v>37</v>
      </c>
      <c r="B41" cm="1">
        <f t="array" ref="B41">SUMPRODUCT((Details!$F$3:$F$102=A41)*(Details!$E$3:$E$102="VPN"))</f>
        <v>0</v>
      </c>
      <c r="C41" cm="1">
        <f t="array" ref="C41">SUMPRODUCT((Details!$F$3:$F$102=A41)*(Details!$E$3:$E$102="Screen Share"))</f>
        <v>2</v>
      </c>
      <c r="D41">
        <f t="shared" si="3"/>
        <v>2</v>
      </c>
      <c r="F41" t="s">
        <v>235</v>
      </c>
      <c r="G41">
        <f ca="1">COUNTIFS(Details!$A$3:$A$102,"&gt;="&amp;DATE(YEAR(TODAY()),MONTH(TODAY()),1),Details!$A$3:$A$102,"&lt;"&amp;DATE(YEAR(TODAY()),MONTH(TODAY())+1,1))</f>
        <v>3</v>
      </c>
    </row>
    <row r="42" spans="1:13" x14ac:dyDescent="0.3">
      <c r="A42" t="s">
        <v>34</v>
      </c>
      <c r="B42" cm="1">
        <f t="array" ref="B42">SUMPRODUCT((Details!$F$3:$F$102=A42)*(Details!$E$3:$E$102="VPN"))</f>
        <v>18</v>
      </c>
      <c r="C42" cm="1">
        <f t="array" ref="C42">SUMPRODUCT((Details!$F$3:$F$102=A42)*(Details!$E$3:$E$102="Screen Share"))</f>
        <v>9</v>
      </c>
      <c r="D42">
        <f t="shared" si="3"/>
        <v>27</v>
      </c>
      <c r="F42" t="s">
        <v>236</v>
      </c>
      <c r="G42">
        <f ca="1">COUNTIFS(Details!$B$3:$B$102,"&gt;="&amp;DATE(YEAR(TODAY()),MONTH(TODAY()),1),Details!$B$3:$B$102,"&lt;"&amp;DATE(YEAR(TODAY()),MONTH(TODAY())+1,1))</f>
        <v>3</v>
      </c>
    </row>
    <row r="43" spans="1:13" x14ac:dyDescent="0.3">
      <c r="A43" t="s">
        <v>52</v>
      </c>
      <c r="B43" cm="1">
        <f t="array" ref="B43">SUMPRODUCT((Details!$F$3:$F$102=A43)*(Details!$E$3:$E$102="VPN"))</f>
        <v>11</v>
      </c>
      <c r="C43" cm="1">
        <f t="array" ref="C43">SUMPRODUCT((Details!$F$3:$F$102=A43)*(Details!$E$3:$E$102="Screen Share"))</f>
        <v>9</v>
      </c>
      <c r="D43">
        <f t="shared" si="3"/>
        <v>20</v>
      </c>
      <c r="F43" t="s">
        <v>237</v>
      </c>
      <c r="G43">
        <f ca="1">SUMIFS(Details!$M$3:$M$102,Details!$A$3:$A$102,"&gt;="&amp;DATE(YEAR(TODAY()),MONTH(TODAY()),1),Details!$A$3:$A$102,"&lt;"&amp;DATE(YEAR(TODAY()),MONTH(TODAY())+1,1))</f>
        <v>4</v>
      </c>
    </row>
    <row r="44" spans="1:13" x14ac:dyDescent="0.3">
      <c r="A44" t="s">
        <v>43</v>
      </c>
      <c r="B44" cm="1">
        <f t="array" ref="B44">SUMPRODUCT((Details!$F$3:$F$102=A44)*(Details!$E$3:$E$102="VPN"))</f>
        <v>7</v>
      </c>
      <c r="C44" cm="1">
        <f t="array" ref="C44">SUMPRODUCT((Details!$F$3:$F$102=A44)*(Details!$E$3:$E$102="Screen Share"))</f>
        <v>8</v>
      </c>
      <c r="D44">
        <f t="shared" si="3"/>
        <v>15</v>
      </c>
      <c r="F44" t="s">
        <v>238</v>
      </c>
      <c r="G44">
        <f ca="1">SUMIFS(Details!$N$3:$N$102,Details!$B$3:$B$102,"&gt;="&amp;DATE(YEAR(TODAY()),MONTH(TODAY()),1),Details!$B$3:$B$102,"&lt;"&amp;DATE(YEAR(TODAY()),MONTH(TODAY())+1,1))</f>
        <v>2</v>
      </c>
    </row>
    <row r="45" spans="1:13" x14ac:dyDescent="0.3">
      <c r="A45" t="s">
        <v>40</v>
      </c>
      <c r="B45" cm="1">
        <f t="array" ref="B45">SUMPRODUCT((Details!$F$3:$F$102=A45)*(Details!$E$3:$E$102="VPN"))</f>
        <v>0</v>
      </c>
      <c r="C45" cm="1">
        <f t="array" ref="C45">SUMPRODUCT((Details!$F$3:$F$102=A45)*(Details!$E$3:$E$102="Screen Share"))</f>
        <v>0</v>
      </c>
      <c r="D45">
        <f t="shared" si="3"/>
        <v>0</v>
      </c>
      <c r="F45" t="s">
        <v>245</v>
      </c>
      <c r="G45">
        <f ca="1">COUNTIFS(Details!$A$3:$A$102,"&gt;="&amp;DATE(YEAR(TODAY()),MONTH(TODAY()),1),Details!$A$3:$A$102,"&lt;"&amp;DATE(YEAR(TODAY()),MONTH(TODAY())+1,1),Details!$K$3:$K$102,"Done")</f>
        <v>3</v>
      </c>
    </row>
    <row r="46" spans="1:13" x14ac:dyDescent="0.3">
      <c r="A46" s="41" t="s">
        <v>247</v>
      </c>
      <c r="B46" s="42">
        <f>SUM(B40:B45)</f>
        <v>38</v>
      </c>
      <c r="C46" s="42">
        <f>SUM(C40:C45)</f>
        <v>29</v>
      </c>
      <c r="D46" s="42">
        <f>SUM(D40:D45)</f>
        <v>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4FCCF-6922-41D0-8FB2-6549241C78C5}">
  <dimension ref="A1"/>
  <sheetViews>
    <sheetView workbookViewId="0"/>
  </sheetViews>
  <sheetFormatPr defaultColWidth="8.88671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Details</vt:lpstr>
      <vt:lpstr>data</vt:lpstr>
      <vt:lpstr>Bugs</vt:lpstr>
      <vt:lpstr>Issue_Log</vt:lpstr>
      <vt:lpstr>Stats</vt:lpstr>
      <vt:lpstr>Charts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Karanam, Jabali Searcot (PSD-GCC)</dc:creator>
  <cp:keywords/>
  <dc:description/>
  <cp:lastModifiedBy>Karanam, Jabali Searcot (PSD-GCC)</cp:lastModifiedBy>
  <cp:revision/>
  <dcterms:created xsi:type="dcterms:W3CDTF">2026-03-10T08:28:14Z</dcterms:created>
  <dcterms:modified xsi:type="dcterms:W3CDTF">2026-07-13T12:20:08Z</dcterms:modified>
  <cp:category/>
  <cp:contentStatus/>
</cp:coreProperties>
</file>